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img\Downloads\developer_feedback\"/>
    </mc:Choice>
  </mc:AlternateContent>
  <xr:revisionPtr revIDLastSave="0" documentId="13_ncr:1_{B6317AE0-1BBE-4084-A907-BC33D9F9F164}" xr6:coauthVersionLast="47" xr6:coauthVersionMax="47" xr10:uidLastSave="{00000000-0000-0000-0000-000000000000}"/>
  <bookViews>
    <workbookView xWindow="-108" yWindow="-108" windowWidth="23256" windowHeight="12456" xr2:uid="{27DCC865-CCC6-47F2-95EB-D3204005DE1F}"/>
  </bookViews>
  <sheets>
    <sheet name="financials" sheetId="2" r:id="rId1"/>
  </sheets>
  <definedNames>
    <definedName name="ExternalData_1" localSheetId="0" hidden="1">financials!$A$1:$H$206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 a="1"/>
  <c r="M4" i="2" s="1"/>
  <c r="Q4" i="2" l="1" a="1"/>
  <c r="Q4" i="2" s="1"/>
  <c r="R25" i="2" a="1"/>
  <c r="R25" i="2" s="1"/>
  <c r="Q25" i="2" a="1"/>
  <c r="Q25" i="2" s="1"/>
  <c r="Q19" i="2" a="1"/>
  <c r="Q19" i="2" s="1"/>
  <c r="O4" i="2" a="1"/>
  <c r="O4" i="2" s="1"/>
  <c r="R22" i="2" a="1"/>
  <c r="R22" i="2" s="1"/>
  <c r="R18" i="2" a="1"/>
  <c r="R18" i="2" s="1"/>
  <c r="R14" i="2" a="1"/>
  <c r="R14" i="2" s="1"/>
  <c r="R12" i="2" a="1"/>
  <c r="R12" i="2" s="1"/>
  <c r="R10" i="2" a="1"/>
  <c r="R10" i="2" s="1"/>
  <c r="R8" i="2" a="1"/>
  <c r="R8" i="2" s="1"/>
  <c r="R6" i="2" a="1"/>
  <c r="R6" i="2" s="1"/>
  <c r="P4" i="2" a="1"/>
  <c r="P4" i="2" s="1"/>
  <c r="Q24" i="2" a="1"/>
  <c r="Q24" i="2" s="1"/>
  <c r="Q22" i="2" a="1"/>
  <c r="Q22" i="2" s="1"/>
  <c r="Q20" i="2" a="1"/>
  <c r="Q20" i="2" s="1"/>
  <c r="Q18" i="2" a="1"/>
  <c r="Q18" i="2" s="1"/>
  <c r="Q16" i="2" a="1"/>
  <c r="Q16" i="2" s="1"/>
  <c r="Q14" i="2" a="1"/>
  <c r="Q14" i="2" s="1"/>
  <c r="Q12" i="2" a="1"/>
  <c r="Q12" i="2" s="1"/>
  <c r="Q10" i="2" a="1"/>
  <c r="Q10" i="2" s="1"/>
  <c r="Q8" i="2" a="1"/>
  <c r="Q8" i="2" s="1"/>
  <c r="Q6" i="2" a="1"/>
  <c r="Q6" i="2" s="1"/>
  <c r="O24" i="2" a="1"/>
  <c r="O24" i="2" s="1"/>
  <c r="Q23" i="2" a="1"/>
  <c r="Q23" i="2" s="1"/>
  <c r="Q17" i="2" a="1"/>
  <c r="Q17" i="2" s="1"/>
  <c r="R24" i="2" a="1"/>
  <c r="R24" i="2" s="1"/>
  <c r="R20" i="2" a="1"/>
  <c r="R20" i="2" s="1"/>
  <c r="R16" i="2" a="1"/>
  <c r="R16" i="2" s="1"/>
  <c r="P24" i="2" a="1"/>
  <c r="P24" i="2" s="1"/>
  <c r="P22" i="2" a="1"/>
  <c r="P22" i="2" s="1"/>
  <c r="P20" i="2" a="1"/>
  <c r="P20" i="2" s="1"/>
  <c r="P18" i="2" a="1"/>
  <c r="P18" i="2" s="1"/>
  <c r="P16" i="2" a="1"/>
  <c r="P16" i="2" s="1"/>
  <c r="P14" i="2" a="1"/>
  <c r="P14" i="2" s="1"/>
  <c r="P12" i="2" a="1"/>
  <c r="P12" i="2" s="1"/>
  <c r="P10" i="2" a="1"/>
  <c r="P10" i="2" s="1"/>
  <c r="P8" i="2" a="1"/>
  <c r="P8" i="2" s="1"/>
  <c r="P6" i="2" a="1"/>
  <c r="P6" i="2" s="1"/>
  <c r="O22" i="2" a="1"/>
  <c r="O22" i="2" s="1"/>
  <c r="O20" i="2" a="1"/>
  <c r="O20" i="2" s="1"/>
  <c r="O18" i="2" a="1"/>
  <c r="O18" i="2" s="1"/>
  <c r="O16" i="2" a="1"/>
  <c r="O16" i="2" s="1"/>
  <c r="O14" i="2" a="1"/>
  <c r="O14" i="2" s="1"/>
  <c r="O12" i="2" a="1"/>
  <c r="O12" i="2" s="1"/>
  <c r="O10" i="2" a="1"/>
  <c r="O10" i="2" s="1"/>
  <c r="O8" i="2" a="1"/>
  <c r="O8" i="2" s="1"/>
  <c r="O6" i="2" a="1"/>
  <c r="O6" i="2" s="1"/>
  <c r="R21" i="2" a="1"/>
  <c r="R21" i="2" s="1"/>
  <c r="R19" i="2" a="1"/>
  <c r="R19" i="2" s="1"/>
  <c r="R17" i="2" a="1"/>
  <c r="R17" i="2" s="1"/>
  <c r="R15" i="2" a="1"/>
  <c r="R15" i="2" s="1"/>
  <c r="R13" i="2" a="1"/>
  <c r="R13" i="2" s="1"/>
  <c r="R11" i="2" a="1"/>
  <c r="R11" i="2" s="1"/>
  <c r="R9" i="2" a="1"/>
  <c r="R9" i="2" s="1"/>
  <c r="R7" i="2" a="1"/>
  <c r="R7" i="2" s="1"/>
  <c r="R5" i="2" a="1"/>
  <c r="R5" i="2" s="1"/>
  <c r="R4" i="2" a="1"/>
  <c r="R4" i="2" s="1"/>
  <c r="R23" i="2" a="1"/>
  <c r="R23" i="2" s="1"/>
  <c r="Q21" i="2" a="1"/>
  <c r="Q21" i="2" s="1"/>
  <c r="Q15" i="2" a="1"/>
  <c r="Q15" i="2" s="1"/>
  <c r="Q13" i="2" a="1"/>
  <c r="Q13" i="2" s="1"/>
  <c r="Q11" i="2" a="1"/>
  <c r="Q11" i="2" s="1"/>
  <c r="Q9" i="2" a="1"/>
  <c r="Q9" i="2" s="1"/>
  <c r="Q7" i="2" a="1"/>
  <c r="Q7" i="2" s="1"/>
  <c r="Q5" i="2" a="1"/>
  <c r="Q5" i="2" s="1"/>
  <c r="P25" i="2" a="1"/>
  <c r="P25" i="2" s="1"/>
  <c r="P23" i="2" a="1"/>
  <c r="P23" i="2" s="1"/>
  <c r="P21" i="2" a="1"/>
  <c r="P21" i="2" s="1"/>
  <c r="P19" i="2" a="1"/>
  <c r="P19" i="2" s="1"/>
  <c r="P17" i="2" a="1"/>
  <c r="P17" i="2" s="1"/>
  <c r="P15" i="2" a="1"/>
  <c r="P15" i="2" s="1"/>
  <c r="P13" i="2" a="1"/>
  <c r="P13" i="2" s="1"/>
  <c r="P11" i="2" a="1"/>
  <c r="P11" i="2" s="1"/>
  <c r="P9" i="2" a="1"/>
  <c r="P9" i="2" s="1"/>
  <c r="P7" i="2" a="1"/>
  <c r="P7" i="2" s="1"/>
  <c r="P5" i="2" a="1"/>
  <c r="P5" i="2" s="1"/>
  <c r="O25" i="2" a="1"/>
  <c r="O25" i="2" s="1"/>
  <c r="O23" i="2" a="1"/>
  <c r="O23" i="2" s="1"/>
  <c r="O21" i="2" a="1"/>
  <c r="O21" i="2" s="1"/>
  <c r="O19" i="2" a="1"/>
  <c r="O19" i="2" s="1"/>
  <c r="O17" i="2" a="1"/>
  <c r="O17" i="2" s="1"/>
  <c r="O15" i="2" a="1"/>
  <c r="O15" i="2" s="1"/>
  <c r="O13" i="2" a="1"/>
  <c r="O13" i="2" s="1"/>
  <c r="O11" i="2" a="1"/>
  <c r="O11" i="2" s="1"/>
  <c r="O9" i="2" a="1"/>
  <c r="O9" i="2" s="1"/>
  <c r="O7" i="2" a="1"/>
  <c r="O7" i="2" s="1"/>
  <c r="O5" i="2" a="1"/>
  <c r="O5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637426-6FA8-43B3-857F-780756BAAA93}" keepAlive="1" name="Query - financials" description="Connection to the 'financials' query in the workbook." type="5" refreshedVersion="8" background="1" saveData="1">
    <dbPr connection="Provider=Microsoft.Mashup.OleDb.1;Data Source=$Workbook$;Location=financials;Extended Properties=&quot;&quot;" command="SELECT * FROM [financ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<sst xmlns="http://schemas.openxmlformats.org/spreadsheetml/2006/main" count="1240" uniqueCount="315">
  <si>
    <t>Project Name</t>
  </si>
  <si>
    <t>ST</t>
  </si>
  <si>
    <t>Price ($/MWh)</t>
  </si>
  <si>
    <t>Misae III</t>
  </si>
  <si>
    <t>TX</t>
  </si>
  <si>
    <t>ERCOT</t>
  </si>
  <si>
    <t>HB_WEST</t>
  </si>
  <si>
    <t>None</t>
  </si>
  <si>
    <t>Donegal</t>
  </si>
  <si>
    <t>HB_HOUSTON</t>
  </si>
  <si>
    <t>Camino</t>
  </si>
  <si>
    <t>HB_NORTH</t>
  </si>
  <si>
    <t>Texas Solar 1 (15yrs)</t>
  </si>
  <si>
    <t>HB_SOUTH</t>
  </si>
  <si>
    <t>Jackson Ranch</t>
  </si>
  <si>
    <t>Cutlass Solar LLC</t>
  </si>
  <si>
    <t>Riverbend</t>
  </si>
  <si>
    <t>Chalan</t>
  </si>
  <si>
    <t>CA</t>
  </si>
  <si>
    <t>CAISO</t>
  </si>
  <si>
    <t>SP15</t>
  </si>
  <si>
    <t>Makalu ($46)</t>
  </si>
  <si>
    <t>Makalu ($40)</t>
  </si>
  <si>
    <t>Serengeti ($46)</t>
  </si>
  <si>
    <t>Serengeti ($40)</t>
  </si>
  <si>
    <t>Valdivian ($46)</t>
  </si>
  <si>
    <t>Valdivian ($40)</t>
  </si>
  <si>
    <t>Juniperus ($46)</t>
  </si>
  <si>
    <t>Juniperus ($40)</t>
  </si>
  <si>
    <t>Tain ($46)</t>
  </si>
  <si>
    <t>Tain ($40)</t>
  </si>
  <si>
    <t>Ranchero Wind (10 Year)</t>
  </si>
  <si>
    <t>Ranchero Wind (12 year)</t>
  </si>
  <si>
    <t>Ranchero Wind (15 Year)</t>
  </si>
  <si>
    <t>Novaculite Solar, LLC</t>
  </si>
  <si>
    <t>AR</t>
  </si>
  <si>
    <t>MISO</t>
  </si>
  <si>
    <t>Tripoli Solar, LLC</t>
  </si>
  <si>
    <t>Hollis Creek ($59.75)</t>
  </si>
  <si>
    <t>LA</t>
  </si>
  <si>
    <t>ARKANSAS.HUB</t>
  </si>
  <si>
    <t>Hollis Creek ($61.50)</t>
  </si>
  <si>
    <t>Hollis Creek ($62.50)</t>
  </si>
  <si>
    <t>Sunnynook</t>
  </si>
  <si>
    <t>AB</t>
  </si>
  <si>
    <t>AESO</t>
  </si>
  <si>
    <t>Alberta</t>
  </si>
  <si>
    <t>Moonshine (15 years)</t>
  </si>
  <si>
    <t xml:space="preserve">IL </t>
  </si>
  <si>
    <t>ILLINOIS.HUB</t>
  </si>
  <si>
    <t>Moonshine (20 years)</t>
  </si>
  <si>
    <t>Georgetown Solar (PREC)</t>
  </si>
  <si>
    <t>Georgetown Solar (GRECStandard)</t>
  </si>
  <si>
    <t>Georgetown Solar (GREC20share)</t>
  </si>
  <si>
    <t>Georgetown Solar (GRECNoUpside)</t>
  </si>
  <si>
    <t>Georgetown Solar (GRECDM)</t>
  </si>
  <si>
    <t>Wildflower II</t>
  </si>
  <si>
    <t>MS</t>
  </si>
  <si>
    <t>Goat Mountain Repower</t>
  </si>
  <si>
    <t>Catamount</t>
  </si>
  <si>
    <t>WV</t>
  </si>
  <si>
    <t>PJM</t>
  </si>
  <si>
    <t>STXUnknown3 (10Year)</t>
  </si>
  <si>
    <t>STXUnknown3 (15Year)</t>
  </si>
  <si>
    <t>STXUnknown4 (10Year)</t>
  </si>
  <si>
    <t>STXUnknown4 (15Year)</t>
  </si>
  <si>
    <t>Riverstart V</t>
  </si>
  <si>
    <t>IN</t>
  </si>
  <si>
    <t>Thoroghbred</t>
  </si>
  <si>
    <t>KY</t>
  </si>
  <si>
    <t>WESTERN HUB</t>
  </si>
  <si>
    <t>Salt Fork</t>
  </si>
  <si>
    <t>Great Plains</t>
  </si>
  <si>
    <t>OK</t>
  </si>
  <si>
    <t>SPP</t>
  </si>
  <si>
    <t>SPPSOUTH_HUB</t>
  </si>
  <si>
    <t>San Juan Mesa Repower</t>
  </si>
  <si>
    <t>NM</t>
  </si>
  <si>
    <t>Elbow Creek (10 Year)</t>
  </si>
  <si>
    <t>Elbow Creek (15 Year)</t>
  </si>
  <si>
    <t>Marshall Springs Solar</t>
  </si>
  <si>
    <t>Swan</t>
  </si>
  <si>
    <t>MO</t>
  </si>
  <si>
    <t>To Be Shared 1 (Axpo)</t>
  </si>
  <si>
    <t>Hillboro ($40)</t>
  </si>
  <si>
    <t>Hillboro ($46)</t>
  </si>
  <si>
    <t>Whitetail Solar, LLC</t>
  </si>
  <si>
    <t>Opal Solar, LLC</t>
  </si>
  <si>
    <t>Mallard Solar, LLC</t>
  </si>
  <si>
    <t>Gypsum Solar, LLC</t>
  </si>
  <si>
    <t>IL</t>
  </si>
  <si>
    <t>Brushy Solar, LLC</t>
  </si>
  <si>
    <t>Boone Point Solar, LLC</t>
  </si>
  <si>
    <t>Bauxite Solar, LLC</t>
  </si>
  <si>
    <t>Axinite Solar, LLC</t>
  </si>
  <si>
    <t>Barite Solar, LLC</t>
  </si>
  <si>
    <t>LOUISIANA.HUB</t>
  </si>
  <si>
    <t>Malachite Solar, LLC</t>
  </si>
  <si>
    <t>Big Sky Solar</t>
  </si>
  <si>
    <t xml:space="preserve">Alberta Load Price </t>
  </si>
  <si>
    <t xml:space="preserve">Red Barn </t>
  </si>
  <si>
    <t>Springwater Solar</t>
  </si>
  <si>
    <t>OH</t>
  </si>
  <si>
    <t>Brazoria Solar II</t>
  </si>
  <si>
    <t>Mustang Creek</t>
  </si>
  <si>
    <t>Nova Solar</t>
  </si>
  <si>
    <t>Hill Solar I</t>
  </si>
  <si>
    <t>Witchita Solar</t>
  </si>
  <si>
    <t>Soleil (option6)</t>
  </si>
  <si>
    <t>Soleil (option3)</t>
  </si>
  <si>
    <t>Soleil (option2)</t>
  </si>
  <si>
    <t>Soleil (option1)</t>
  </si>
  <si>
    <t>Soleil (option5)</t>
  </si>
  <si>
    <t>Soleil (option4)</t>
  </si>
  <si>
    <t>Harlansburg</t>
  </si>
  <si>
    <t>PA</t>
  </si>
  <si>
    <t>Harlansburg (REC Swap)</t>
  </si>
  <si>
    <t>To Be Shared 2 (Axpo)</t>
  </si>
  <si>
    <t>Adams Creek (15 years)</t>
  </si>
  <si>
    <t>STXUnknown2 (15yr)</t>
  </si>
  <si>
    <t>STXUnknown1 (15yr)</t>
  </si>
  <si>
    <t>STXUnknown1 (10Yr)</t>
  </si>
  <si>
    <t>Iowa</t>
  </si>
  <si>
    <t>IA</t>
  </si>
  <si>
    <t>INDIANA.HUB</t>
  </si>
  <si>
    <t>NE</t>
  </si>
  <si>
    <t>Lubio ($45)</t>
  </si>
  <si>
    <t>Lubio ($40)</t>
  </si>
  <si>
    <t xml:space="preserve">Red-Tailed Hawk </t>
  </si>
  <si>
    <t>Blue Jeans</t>
  </si>
  <si>
    <t>Hayward Solar</t>
  </si>
  <si>
    <t>MN</t>
  </si>
  <si>
    <t>MINN.HUB</t>
  </si>
  <si>
    <t>Morrilton</t>
  </si>
  <si>
    <t>Houston Solar</t>
  </si>
  <si>
    <t>BC Solar</t>
  </si>
  <si>
    <t>Easter Wind</t>
  </si>
  <si>
    <t>Cone Wind</t>
  </si>
  <si>
    <t>Water Valley Wind</t>
  </si>
  <si>
    <t>Flying Kite</t>
  </si>
  <si>
    <t>Basil</t>
  </si>
  <si>
    <t>Galaxy</t>
  </si>
  <si>
    <t>Chilton</t>
  </si>
  <si>
    <t>Albion</t>
  </si>
  <si>
    <t>Golden Nemo</t>
  </si>
  <si>
    <t>Texas Solar 1 (20yrs)</t>
  </si>
  <si>
    <t>CAISO NP 15 Wind</t>
  </si>
  <si>
    <t>NP15</t>
  </si>
  <si>
    <t>MX-CA Wind</t>
  </si>
  <si>
    <t>Dunmore</t>
  </si>
  <si>
    <t>Aktina Solar</t>
  </si>
  <si>
    <t>Estuary</t>
  </si>
  <si>
    <t>Horus</t>
  </si>
  <si>
    <t>MI</t>
  </si>
  <si>
    <t>Adams Creek (10 years)</t>
  </si>
  <si>
    <t>Savelkoul</t>
  </si>
  <si>
    <t>VA</t>
  </si>
  <si>
    <t>Nimbus Wind</t>
  </si>
  <si>
    <t>Gonzaga Ridge Wind Farm</t>
  </si>
  <si>
    <t>Markum Solar (portion)</t>
  </si>
  <si>
    <t>Markum Solar</t>
  </si>
  <si>
    <t>Kelly Creek</t>
  </si>
  <si>
    <t>N ILLINOIS HUB</t>
  </si>
  <si>
    <t>Livingston Wind</t>
  </si>
  <si>
    <t>Mayfield</t>
  </si>
  <si>
    <t>Starfire Phase II</t>
  </si>
  <si>
    <t>AEP-DAYTON HUB</t>
  </si>
  <si>
    <t>Grapefruit</t>
  </si>
  <si>
    <t>Lavender</t>
  </si>
  <si>
    <t>Pleasantville</t>
  </si>
  <si>
    <t>Legacy Solar</t>
  </si>
  <si>
    <t>Ratts 2</t>
  </si>
  <si>
    <t>Magenta</t>
  </si>
  <si>
    <t>Limewood</t>
  </si>
  <si>
    <t>Long Bridge</t>
  </si>
  <si>
    <t>Salt</t>
  </si>
  <si>
    <t>Dove Run</t>
  </si>
  <si>
    <t>Millers Branch</t>
  </si>
  <si>
    <t>Wheatsborough</t>
  </si>
  <si>
    <t>Coldwater River Solar</t>
  </si>
  <si>
    <t>MICHIGAN.HUB</t>
  </si>
  <si>
    <t>Kelso 2</t>
  </si>
  <si>
    <t>Kelso 1</t>
  </si>
  <si>
    <t>Panther</t>
  </si>
  <si>
    <t>Starling</t>
  </si>
  <si>
    <t>Siete</t>
  </si>
  <si>
    <t>Two Rivers</t>
  </si>
  <si>
    <t>Montpelier</t>
  </si>
  <si>
    <t>Brouilletts Creek</t>
  </si>
  <si>
    <t>Springwater</t>
  </si>
  <si>
    <t>Big Bend</t>
  </si>
  <si>
    <t>Lotus Wind</t>
  </si>
  <si>
    <t>Downeast</t>
  </si>
  <si>
    <t>ME</t>
  </si>
  <si>
    <t>ISO-NE</t>
  </si>
  <si>
    <t>.Z.MAINE</t>
  </si>
  <si>
    <t>Rosebud</t>
  </si>
  <si>
    <t xml:space="preserve">Cattlemen II </t>
  </si>
  <si>
    <t>Moreland</t>
  </si>
  <si>
    <t>Ratts 3</t>
  </si>
  <si>
    <t>Campbell</t>
  </si>
  <si>
    <t>Swallowtail</t>
  </si>
  <si>
    <t>Orange Grove</t>
  </si>
  <si>
    <t>Eldorado Phase 2</t>
  </si>
  <si>
    <t>Eldorado Phase 1</t>
  </si>
  <si>
    <t>Charter Oak</t>
  </si>
  <si>
    <t>Blevins ($42.97)</t>
  </si>
  <si>
    <t>Blevins ($45.95)</t>
  </si>
  <si>
    <t>Blevins ($48.82)</t>
  </si>
  <si>
    <t>Yaupon</t>
  </si>
  <si>
    <t>Solheim</t>
  </si>
  <si>
    <t>Parker Branch</t>
  </si>
  <si>
    <t>Duff</t>
  </si>
  <si>
    <t>Greenwood</t>
  </si>
  <si>
    <t>Golden Currant</t>
  </si>
  <si>
    <t>NV</t>
  </si>
  <si>
    <t>Prairie Mist II</t>
  </si>
  <si>
    <t>Pine Forest</t>
  </si>
  <si>
    <t>Clutch City</t>
  </si>
  <si>
    <t>Wildflower 3</t>
  </si>
  <si>
    <t>Mount Storm Phase 2</t>
  </si>
  <si>
    <t>County Wind</t>
  </si>
  <si>
    <t>Basil Solar</t>
  </si>
  <si>
    <t>Starfire</t>
  </si>
  <si>
    <t>AEP</t>
  </si>
  <si>
    <t>Liberty</t>
  </si>
  <si>
    <t>Champion</t>
  </si>
  <si>
    <t>Crossvine</t>
  </si>
  <si>
    <t>Jones City 2</t>
  </si>
  <si>
    <t>Jones City 1</t>
  </si>
  <si>
    <t>Big Elk</t>
  </si>
  <si>
    <t>SPPNORTH_HUB</t>
  </si>
  <si>
    <t>Montour 2</t>
  </si>
  <si>
    <t>Mowata</t>
  </si>
  <si>
    <t>Inverness</t>
  </si>
  <si>
    <t>MISSISSIPPI</t>
  </si>
  <si>
    <t>Shaula I</t>
  </si>
  <si>
    <t>Capoterra</t>
  </si>
  <si>
    <t>Solar ERCOT-2</t>
  </si>
  <si>
    <t>Solar ERCOT-3</t>
  </si>
  <si>
    <t>Wind-MX CAISO</t>
  </si>
  <si>
    <t>Solar ERCOT-1</t>
  </si>
  <si>
    <t>Hart+</t>
  </si>
  <si>
    <t>Carol</t>
  </si>
  <si>
    <t>Oliver IV</t>
  </si>
  <si>
    <t>ND</t>
  </si>
  <si>
    <t>Manila</t>
  </si>
  <si>
    <t>Rumble</t>
  </si>
  <si>
    <t>Coati</t>
  </si>
  <si>
    <t>Diver</t>
  </si>
  <si>
    <t>Riverside</t>
  </si>
  <si>
    <t>Northern Crescent</t>
  </si>
  <si>
    <t>Date Price Received</t>
  </si>
  <si>
    <t>Settlement Hub</t>
  </si>
  <si>
    <t>ISO/RTO</t>
  </si>
  <si>
    <t>P25</t>
  </si>
  <si>
    <t>P50</t>
  </si>
  <si>
    <t>P99</t>
  </si>
  <si>
    <t>P10</t>
  </si>
  <si>
    <t>Developer</t>
  </si>
  <si>
    <t>Abei Energy</t>
  </si>
  <si>
    <t>Azimuth Renewables, LLC</t>
  </si>
  <si>
    <t>TotalEnergies</t>
  </si>
  <si>
    <t>Macquarie</t>
  </si>
  <si>
    <t>STXGroup</t>
  </si>
  <si>
    <t>Cypress Creek Renewables</t>
  </si>
  <si>
    <t>REV Renewables</t>
  </si>
  <si>
    <t xml:space="preserve">Axpo U.S. LLC </t>
  </si>
  <si>
    <t>Axpo U.S. LLC</t>
  </si>
  <si>
    <t>Ampyr Energy</t>
  </si>
  <si>
    <t>Clearway Energy Group LLC</t>
  </si>
  <si>
    <t>STX Group</t>
  </si>
  <si>
    <t>Arevon Energy</t>
  </si>
  <si>
    <t>Metlen Energy &amp; Metals</t>
  </si>
  <si>
    <t>Enbridge</t>
  </si>
  <si>
    <t xml:space="preserve">EDPR </t>
  </si>
  <si>
    <t>Madison Energy Infrastructure</t>
  </si>
  <si>
    <t>Clearway Renew LLC</t>
  </si>
  <si>
    <t>Acciona</t>
  </si>
  <si>
    <t>Origis</t>
  </si>
  <si>
    <t>Engie</t>
  </si>
  <si>
    <t>Southern Power Company</t>
  </si>
  <si>
    <t>engie</t>
  </si>
  <si>
    <t>X-Elio</t>
  </si>
  <si>
    <t>ENEOS/Advanced Power</t>
  </si>
  <si>
    <t>Sol Systems</t>
  </si>
  <si>
    <t>Apex Clean Energy</t>
  </si>
  <si>
    <t>Ignis Energy</t>
  </si>
  <si>
    <t>Greencells</t>
  </si>
  <si>
    <t>Tokyo Gas America</t>
  </si>
  <si>
    <t>Scout Clean Energy</t>
  </si>
  <si>
    <t>Brightnight</t>
  </si>
  <si>
    <t>EDF</t>
  </si>
  <si>
    <t>Pinegate</t>
  </si>
  <si>
    <t>Cobra</t>
  </si>
  <si>
    <t>National Grid</t>
  </si>
  <si>
    <t>PineGate</t>
  </si>
  <si>
    <t>EcoPlexus</t>
  </si>
  <si>
    <t>Nexamp</t>
  </si>
  <si>
    <t>EDPR</t>
  </si>
  <si>
    <t>BrightNight</t>
  </si>
  <si>
    <t>Horus Capital</t>
  </si>
  <si>
    <t>Avantus</t>
  </si>
  <si>
    <t>Primergy</t>
  </si>
  <si>
    <t>Lightsource bp</t>
  </si>
  <si>
    <t>Ignis</t>
  </si>
  <si>
    <t>Grenergy</t>
  </si>
  <si>
    <t>NextEra</t>
  </si>
  <si>
    <t>Savion</t>
  </si>
  <si>
    <t>Greenalia</t>
  </si>
  <si>
    <t>Technology</t>
  </si>
  <si>
    <t>Solar</t>
  </si>
  <si>
    <t xml:space="preserve">Solar </t>
  </si>
  <si>
    <t>Wind</t>
  </si>
  <si>
    <t>Solar + 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</si>
</sst>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top"/>
    </xf>
    <xf numFmtId="14" fontId="0" fillId="0" borderId="0" xfId="0" applyNumberFormat="1"/>
    <xf numFmtId="8" fontId="0" fillId="0" borderId="0" xfId="0" applyNumberFormat="1"/>
    <xf numFmtId="0" fontId="3" fillId="0" borderId="0" xfId="0" applyFont="1" applyAlignment="1">
      <alignment vertical="top"/>
    </xf>
    <xf numFmtId="8" fontId="3" fillId="0" borderId="0" xfId="0" applyNumberFormat="1" applyFont="1" applyAlignment="1">
      <alignment vertical="top"/>
    </xf>
    <xf numFmtId="9" fontId="4" fillId="0" borderId="0" xfId="0" applyNumberFormat="1" applyFont="1" applyAlignment="1">
      <alignment vertical="top"/>
    </xf>
    <xf numFmtId="0" fontId="4" fillId="0" borderId="0" xfId="0" applyFont="1" applyAlignment="1">
      <alignment horizontal="right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5">
    <dxf>
      <numFmt numFmtId="19" formatCode="m/d/yyyy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0E845A-BE48-4935-93E7-A074A024511F}" autoFormatId="16" applyNumberFormats="0" applyBorderFormats="0" applyFontFormats="0" applyPatternFormats="0" applyAlignmentFormats="0" applyWidthHeightFormats="0">
  <queryTableRefresh nextId="63">
    <queryTableFields count="8">
      <queryTableField id="61" name="Technology" tableColumnId="2"/>
      <queryTableField id="59" name="Developer" tableColumnId="1"/>
      <queryTableField id="5" name="Project Name" tableColumnId="5"/>
      <queryTableField id="6" name="ST" tableColumnId="6"/>
      <queryTableField id="54" name="ISO/RTO" tableColumnId="10"/>
      <queryTableField id="55" name="Settlement Hub" tableColumnId="11"/>
      <queryTableField id="42" name="Date Price Received" tableColumnId="7"/>
      <queryTableField id="56" name="Price ($/MWh)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B1FE82-09EB-4ED9-A8E0-8262CB769382}" name="financials" displayName="financials" ref="A1:H206" tableType="queryTable" totalsRowShown="0" headerRowDxfId="4" dataDxfId="3">
  <autoFilter ref="A1:H206" xr:uid="{0AB1FE82-09EB-4ED9-A8E0-8262CB769382}"/>
  <tableColumns count="8">
    <tableColumn id="2" xr3:uid="{62C1E6FC-A08A-4B93-A17F-6B12246992EC}" uniqueName="2" name="Technology" queryTableFieldId="61"/>
    <tableColumn id="1" xr3:uid="{808BEFC7-6EDD-4290-91AD-3F74C88937FB}" uniqueName="1" name="Developer" queryTableFieldId="59"/>
    <tableColumn id="5" xr3:uid="{62136E5B-234F-4D6B-855C-FD69C49791DE}" uniqueName="5" name="Project Name" queryTableFieldId="5" dataDxfId="2"/>
    <tableColumn id="6" xr3:uid="{E69A85C9-7B2B-4935-8E0C-7BDAA05C7CE3}" uniqueName="6" name="ST" queryTableFieldId="6" dataDxfId="1"/>
    <tableColumn id="10" xr3:uid="{FFCAE586-0DFB-4E20-BF26-94B98D3254DD}" uniqueName="10" name="ISO/RTO" queryTableFieldId="54"/>
    <tableColumn id="11" xr3:uid="{8C6A8E5B-1204-4627-8D78-722A8356FDA7}" uniqueName="11" name="Settlement Hub" queryTableFieldId="55"/>
    <tableColumn id="7" xr3:uid="{0B5A9AE7-022D-4155-8C80-E9DDAEBFD44B}" uniqueName="7" name="Date Price Received" queryTableFieldId="42" dataDxfId="0"/>
    <tableColumn id="12" xr3:uid="{F6A41914-6CB1-4CFC-93A1-D26C53D3CD38}" uniqueName="12" name="Price ($/MWh)" queryTableFieldId="5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KES">
  <a:themeElements>
    <a:clrScheme name="World Kinect Palette 1">
      <a:dk1>
        <a:srgbClr val="5B6670"/>
      </a:dk1>
      <a:lt1>
        <a:srgbClr val="FFFFFF"/>
      </a:lt1>
      <a:dk2>
        <a:srgbClr val="5B6670"/>
      </a:dk2>
      <a:lt2>
        <a:srgbClr val="EAEEF2"/>
      </a:lt2>
      <a:accent1>
        <a:srgbClr val="0EC477"/>
      </a:accent1>
      <a:accent2>
        <a:srgbClr val="00519B"/>
      </a:accent2>
      <a:accent3>
        <a:srgbClr val="5B6670"/>
      </a:accent3>
      <a:accent4>
        <a:srgbClr val="122440"/>
      </a:accent4>
      <a:accent5>
        <a:srgbClr val="578EB1"/>
      </a:accent5>
      <a:accent6>
        <a:srgbClr val="F68220"/>
      </a:accent6>
      <a:hlink>
        <a:srgbClr val="0EC477"/>
      </a:hlink>
      <a:folHlink>
        <a:srgbClr val="0EC47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WKES" id="{232D9A02-D4C3-4DB8-A38E-570595260230}" vid="{E1EEC694-928F-49E9-A994-EB8C4927CCD8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3A89-AFB4-469C-8E58-DB3D5BC08BB0}">
  <dimension ref="A1:R238"/>
  <sheetViews>
    <sheetView showGridLines="0" tabSelected="1" zoomScale="88" workbookViewId="0">
      <selection activeCell="J14" sqref="J14"/>
    </sheetView>
  </sheetViews>
  <sheetFormatPr defaultRowHeight="13.8" x14ac:dyDescent="0.25"/>
  <cols>
    <col min="1" max="1" width="12.59765625" customWidth="1"/>
    <col min="2" max="2" width="25.59765625" customWidth="1"/>
    <col min="3" max="3" width="28.3984375" customWidth="1"/>
    <col min="4" max="4" width="5" customWidth="1"/>
    <col min="5" max="5" width="10.296875" customWidth="1"/>
    <col min="6" max="6" width="16.09765625" customWidth="1"/>
    <col min="7" max="7" width="20" customWidth="1"/>
    <col min="8" max="8" width="14.8984375" customWidth="1"/>
    <col min="9" max="9" width="17" customWidth="1"/>
    <col min="10" max="10" width="20" customWidth="1"/>
    <col min="11" max="11" width="20.8984375" customWidth="1"/>
    <col min="12" max="12" width="10.296875" customWidth="1"/>
    <col min="13" max="13" width="9.796875" customWidth="1"/>
    <col min="14" max="14" width="16.09765625" customWidth="1"/>
    <col min="15" max="18" width="10.3984375" customWidth="1"/>
    <col min="19" max="19" width="13.796875" customWidth="1"/>
    <col min="20" max="21" width="12.5" bestFit="1" customWidth="1"/>
    <col min="22" max="22" width="8.5" bestFit="1" customWidth="1"/>
    <col min="23" max="23" width="13.5" bestFit="1" customWidth="1"/>
    <col min="24" max="24" width="12.5" bestFit="1" customWidth="1"/>
    <col min="25" max="25" width="11.09765625" bestFit="1" customWidth="1"/>
    <col min="26" max="26" width="11.8984375" bestFit="1" customWidth="1"/>
    <col min="27" max="27" width="16.5" bestFit="1" customWidth="1"/>
    <col min="28" max="28" width="20.59765625" bestFit="1" customWidth="1"/>
    <col min="29" max="29" width="22" bestFit="1" customWidth="1"/>
    <col min="30" max="30" width="16.296875" bestFit="1" customWidth="1"/>
    <col min="31" max="31" width="18.296875" bestFit="1" customWidth="1"/>
    <col min="32" max="32" width="16.3984375" bestFit="1" customWidth="1"/>
    <col min="33" max="33" width="19.19921875" bestFit="1" customWidth="1"/>
    <col min="34" max="34" width="16.296875" bestFit="1" customWidth="1"/>
    <col min="35" max="35" width="17.296875" bestFit="1" customWidth="1"/>
    <col min="36" max="36" width="25.19921875" bestFit="1" customWidth="1"/>
    <col min="37" max="37" width="21.8984375" bestFit="1" customWidth="1"/>
    <col min="38" max="38" width="21.59765625" bestFit="1" customWidth="1"/>
    <col min="39" max="39" width="21.5" bestFit="1" customWidth="1"/>
    <col min="40" max="40" width="18.296875" bestFit="1" customWidth="1"/>
    <col min="41" max="41" width="18.69921875" bestFit="1" customWidth="1"/>
    <col min="42" max="42" width="18.796875" bestFit="1" customWidth="1"/>
    <col min="43" max="43" width="12.296875" bestFit="1" customWidth="1"/>
    <col min="44" max="44" width="14.3984375" bestFit="1" customWidth="1"/>
    <col min="45" max="45" width="13.5" bestFit="1" customWidth="1"/>
    <col min="46" max="46" width="14" bestFit="1" customWidth="1"/>
    <col min="47" max="47" width="10" bestFit="1" customWidth="1"/>
    <col min="48" max="48" width="11.8984375" bestFit="1" customWidth="1"/>
    <col min="49" max="49" width="13.09765625" bestFit="1" customWidth="1"/>
    <col min="50" max="50" width="12.796875" bestFit="1" customWidth="1"/>
    <col min="51" max="51" width="12.69921875" bestFit="1" customWidth="1"/>
  </cols>
  <sheetData>
    <row r="1" spans="1:18" x14ac:dyDescent="0.25">
      <c r="A1" t="s">
        <v>310</v>
      </c>
      <c r="B1" t="s">
        <v>259</v>
      </c>
      <c r="C1" s="1" t="s">
        <v>0</v>
      </c>
      <c r="D1" s="1" t="s">
        <v>1</v>
      </c>
      <c r="E1" t="s">
        <v>254</v>
      </c>
      <c r="F1" t="s">
        <v>253</v>
      </c>
      <c r="G1" t="s">
        <v>252</v>
      </c>
      <c r="H1" t="s">
        <v>2</v>
      </c>
      <c r="I1" s="1"/>
    </row>
    <row r="2" spans="1:18" x14ac:dyDescent="0.25">
      <c r="A2" t="s">
        <v>311</v>
      </c>
      <c r="B2" t="s">
        <v>260</v>
      </c>
      <c r="C2" s="1" t="s">
        <v>28</v>
      </c>
      <c r="D2" s="1" t="s">
        <v>4</v>
      </c>
      <c r="E2" t="s">
        <v>5</v>
      </c>
      <c r="F2" t="s">
        <v>11</v>
      </c>
      <c r="G2" s="2">
        <v>45960</v>
      </c>
      <c r="H2">
        <v>40</v>
      </c>
      <c r="I2" s="1"/>
      <c r="M2" s="4"/>
      <c r="N2" s="4"/>
      <c r="O2" s="6">
        <v>0.1</v>
      </c>
      <c r="P2" s="6">
        <v>0.25</v>
      </c>
      <c r="Q2" s="6">
        <v>0.5</v>
      </c>
      <c r="R2" s="6">
        <v>0.99</v>
      </c>
    </row>
    <row r="3" spans="1:18" x14ac:dyDescent="0.25">
      <c r="A3" t="s">
        <v>311</v>
      </c>
      <c r="B3" t="s">
        <v>260</v>
      </c>
      <c r="C3" s="1" t="s">
        <v>27</v>
      </c>
      <c r="D3" s="1" t="s">
        <v>4</v>
      </c>
      <c r="E3" t="s">
        <v>5</v>
      </c>
      <c r="F3" t="s">
        <v>11</v>
      </c>
      <c r="G3" s="2">
        <v>45960</v>
      </c>
      <c r="H3">
        <v>46</v>
      </c>
      <c r="I3" s="1"/>
      <c r="M3" s="4"/>
      <c r="N3" s="4"/>
      <c r="O3" s="7" t="s">
        <v>258</v>
      </c>
      <c r="P3" s="7" t="s">
        <v>255</v>
      </c>
      <c r="Q3" s="7" t="s">
        <v>256</v>
      </c>
      <c r="R3" s="7" t="s">
        <v>257</v>
      </c>
    </row>
    <row r="4" spans="1:18" x14ac:dyDescent="0.25">
      <c r="A4" t="s">
        <v>311</v>
      </c>
      <c r="B4" t="s">
        <v>260</v>
      </c>
      <c r="C4" s="1" t="s">
        <v>22</v>
      </c>
      <c r="D4" s="1" t="s">
        <v>4</v>
      </c>
      <c r="E4" t="s">
        <v>5</v>
      </c>
      <c r="F4" t="s">
        <v>11</v>
      </c>
      <c r="G4" s="2">
        <v>45960</v>
      </c>
      <c r="H4">
        <v>40</v>
      </c>
      <c r="I4" s="1"/>
      <c r="M4" s="4" t="str" cm="1">
        <f t="array" ref="M4:N25">_xlfn._xlws.SORT(_xlfn.UNIQUE(_xlfn._xlws.FILTER(financials[[ISO/RTO]:[Settlement Hub]],(financials[ISO/RTO] &lt;&gt; "&lt;&lt;None&gt;&gt;")*(financials[Settlement Hub] &lt;&gt; "Busbar")*(financials[ISO/RTO] &lt;&gt; "WECC"))))</f>
        <v>AESO</v>
      </c>
      <c r="N4" s="4" t="str">
        <v xml:space="preserve">Alberta Load Price </v>
      </c>
      <c r="O4" s="5" cm="1">
        <f t="array" ref="O4">_xlfn.PERCENTILE.INC(_xlfn._xlws.FILTER(financials[Price ($/MWh)],financials[Settlement Hub]=$N4),O$2)</f>
        <v>55</v>
      </c>
      <c r="P4" s="5" cm="1">
        <f t="array" ref="P4">_xlfn.PERCENTILE.INC(_xlfn._xlws.FILTER(financials[Price ($/MWh)],financials[Settlement Hub]=$N4),P$2)</f>
        <v>55</v>
      </c>
      <c r="Q4" s="5" cm="1">
        <f t="array" ref="Q4">_xlfn.PERCENTILE.INC(_xlfn._xlws.FILTER(financials[Price ($/MWh)],financials[Settlement Hub]=$N4),Q$2)</f>
        <v>55</v>
      </c>
      <c r="R4" s="5" cm="1">
        <f t="array" ref="R4">_xlfn.PERCENTILE.INC(_xlfn._xlws.FILTER(financials[Price ($/MWh)],financials[Settlement Hub]=$N4),R$2)</f>
        <v>55</v>
      </c>
    </row>
    <row r="5" spans="1:18" x14ac:dyDescent="0.25">
      <c r="A5" t="s">
        <v>311</v>
      </c>
      <c r="B5" t="s">
        <v>260</v>
      </c>
      <c r="C5" s="1" t="s">
        <v>21</v>
      </c>
      <c r="D5" s="1" t="s">
        <v>4</v>
      </c>
      <c r="E5" t="s">
        <v>5</v>
      </c>
      <c r="F5" t="s">
        <v>11</v>
      </c>
      <c r="G5" s="2">
        <v>45960</v>
      </c>
      <c r="H5">
        <v>46</v>
      </c>
      <c r="I5" s="1"/>
      <c r="M5" s="4" t="str">
        <v>AESO</v>
      </c>
      <c r="N5" s="4" t="str">
        <v>Alberta</v>
      </c>
      <c r="O5" s="5" cm="1">
        <f t="array" ref="O5">_xlfn.PERCENTILE.INC(_xlfn._xlws.FILTER(financials[Price ($/MWh)],financials[Settlement Hub]=$N5),O$2)</f>
        <v>42.1</v>
      </c>
      <c r="P5" s="5" cm="1">
        <f t="array" ref="P5">_xlfn.PERCENTILE.INC(_xlfn._xlws.FILTER(financials[Price ($/MWh)],financials[Settlement Hub]=$N5),P$2)</f>
        <v>44.5</v>
      </c>
      <c r="Q5" s="5" cm="1">
        <f t="array" ref="Q5">_xlfn.PERCENTILE.INC(_xlfn._xlws.FILTER(financials[Price ($/MWh)],financials[Settlement Hub]=$N5),Q$2)</f>
        <v>46.75</v>
      </c>
      <c r="R5" s="5" cm="1">
        <f t="array" ref="R5">_xlfn.PERCENTILE.INC(_xlfn._xlws.FILTER(financials[Price ($/MWh)],financials[Settlement Hub]=$N5),R$2)</f>
        <v>58.72</v>
      </c>
    </row>
    <row r="6" spans="1:18" x14ac:dyDescent="0.25">
      <c r="A6" t="s">
        <v>311</v>
      </c>
      <c r="B6" t="s">
        <v>260</v>
      </c>
      <c r="C6" s="1" t="s">
        <v>24</v>
      </c>
      <c r="D6" s="1" t="s">
        <v>4</v>
      </c>
      <c r="E6" t="s">
        <v>5</v>
      </c>
      <c r="F6" t="s">
        <v>11</v>
      </c>
      <c r="G6" s="2">
        <v>45960</v>
      </c>
      <c r="H6">
        <v>40</v>
      </c>
      <c r="I6" s="1"/>
      <c r="M6" s="4" t="str">
        <v>CAISO</v>
      </c>
      <c r="N6" s="4" t="str">
        <v>SP15</v>
      </c>
      <c r="O6" s="5" cm="1">
        <f t="array" ref="O6">_xlfn.PERCENTILE.INC(_xlfn._xlws.FILTER(financials[Price ($/MWh)],financials[Settlement Hub]=$N6),O$2)</f>
        <v>43.895000000000003</v>
      </c>
      <c r="P6" s="5" cm="1">
        <f t="array" ref="P6">_xlfn.PERCENTILE.INC(_xlfn._xlws.FILTER(financials[Price ($/MWh)],financials[Settlement Hub]=$N6),P$2)</f>
        <v>57.462499999999999</v>
      </c>
      <c r="Q6" s="5" cm="1">
        <f t="array" ref="Q6">_xlfn.PERCENTILE.INC(_xlfn._xlws.FILTER(financials[Price ($/MWh)],financials[Settlement Hub]=$N6),Q$2)</f>
        <v>70.25</v>
      </c>
      <c r="R6" s="5" cm="1">
        <f t="array" ref="R6">_xlfn.PERCENTILE.INC(_xlfn._xlws.FILTER(financials[Price ($/MWh)],financials[Settlement Hub]=$N6),R$2)</f>
        <v>79.864999999999995</v>
      </c>
    </row>
    <row r="7" spans="1:18" x14ac:dyDescent="0.25">
      <c r="A7" t="s">
        <v>311</v>
      </c>
      <c r="B7" t="s">
        <v>260</v>
      </c>
      <c r="C7" s="1" t="s">
        <v>23</v>
      </c>
      <c r="D7" s="1" t="s">
        <v>4</v>
      </c>
      <c r="E7" t="s">
        <v>5</v>
      </c>
      <c r="F7" t="s">
        <v>11</v>
      </c>
      <c r="G7" s="2">
        <v>45960</v>
      </c>
      <c r="H7">
        <v>46</v>
      </c>
      <c r="I7" s="1"/>
      <c r="J7" s="8"/>
      <c r="M7" s="4" t="str">
        <v>CAISO</v>
      </c>
      <c r="N7" s="4" t="str">
        <v>NP15</v>
      </c>
      <c r="O7" s="5" cm="1">
        <f t="array" ref="O7">_xlfn.PERCENTILE.INC(_xlfn._xlws.FILTER(financials[Price ($/MWh)],financials[Settlement Hub]=$N7),O$2)</f>
        <v>70.623000000000005</v>
      </c>
      <c r="P7" s="5" cm="1">
        <f t="array" ref="P7">_xlfn.PERCENTILE.INC(_xlfn._xlws.FILTER(financials[Price ($/MWh)],financials[Settlement Hub]=$N7),P$2)</f>
        <v>72.352499999999992</v>
      </c>
      <c r="Q7" s="5" cm="1">
        <f t="array" ref="Q7">_xlfn.PERCENTILE.INC(_xlfn._xlws.FILTER(financials[Price ($/MWh)],financials[Settlement Hub]=$N7),Q$2)</f>
        <v>75.234999999999999</v>
      </c>
      <c r="R7" s="5" cm="1">
        <f t="array" ref="R7">_xlfn.PERCENTILE.INC(_xlfn._xlws.FILTER(financials[Price ($/MWh)],financials[Settlement Hub]=$N7),R$2)</f>
        <v>80.884699999999995</v>
      </c>
    </row>
    <row r="8" spans="1:18" x14ac:dyDescent="0.25">
      <c r="A8" t="s">
        <v>311</v>
      </c>
      <c r="B8" t="s">
        <v>260</v>
      </c>
      <c r="C8" s="1" t="s">
        <v>30</v>
      </c>
      <c r="D8" s="1" t="s">
        <v>4</v>
      </c>
      <c r="E8" t="s">
        <v>5</v>
      </c>
      <c r="F8" t="s">
        <v>13</v>
      </c>
      <c r="G8" s="2">
        <v>45960</v>
      </c>
      <c r="H8">
        <v>40</v>
      </c>
      <c r="I8" s="1"/>
      <c r="J8" s="9"/>
      <c r="M8" s="4" t="str">
        <v>ERCOT</v>
      </c>
      <c r="N8" s="4" t="str">
        <v>HB_NORTH</v>
      </c>
      <c r="O8" s="5" cm="1">
        <f t="array" ref="O8">_xlfn.PERCENTILE.INC(_xlfn._xlws.FILTER(financials[Price ($/MWh)],financials[Settlement Hub]=$N8),O$2)</f>
        <v>40</v>
      </c>
      <c r="P8" s="5" cm="1">
        <f t="array" ref="P8">_xlfn.PERCENTILE.INC(_xlfn._xlws.FILTER(financials[Price ($/MWh)],financials[Settlement Hub]=$N8),P$2)</f>
        <v>44.75</v>
      </c>
      <c r="Q8" s="5" cm="1">
        <f t="array" ref="Q8">_xlfn.PERCENTILE.INC(_xlfn._xlws.FILTER(financials[Price ($/MWh)],financials[Settlement Hub]=$N8),Q$2)</f>
        <v>46.575000000000003</v>
      </c>
      <c r="R8" s="5" cm="1">
        <f t="array" ref="R8">_xlfn.PERCENTILE.INC(_xlfn._xlws.FILTER(financials[Price ($/MWh)],financials[Settlement Hub]=$N8),R$2)</f>
        <v>58.373699999999999</v>
      </c>
    </row>
    <row r="9" spans="1:18" x14ac:dyDescent="0.25">
      <c r="A9" t="s">
        <v>311</v>
      </c>
      <c r="B9" t="s">
        <v>260</v>
      </c>
      <c r="C9" s="1" t="s">
        <v>29</v>
      </c>
      <c r="D9" s="1" t="s">
        <v>4</v>
      </c>
      <c r="E9" t="s">
        <v>5</v>
      </c>
      <c r="F9" t="s">
        <v>13</v>
      </c>
      <c r="G9" s="2">
        <v>45960</v>
      </c>
      <c r="H9">
        <v>46</v>
      </c>
      <c r="I9" s="1"/>
      <c r="M9" s="4" t="str">
        <v>ERCOT</v>
      </c>
      <c r="N9" s="4" t="str">
        <v>HB_SOUTH</v>
      </c>
      <c r="O9" s="5" cm="1">
        <f t="array" ref="O9">_xlfn.PERCENTILE.INC(_xlfn._xlws.FILTER(financials[Price ($/MWh)],financials[Settlement Hub]=$N9),O$2)</f>
        <v>45.3</v>
      </c>
      <c r="P9" s="5" cm="1">
        <f t="array" ref="P9">_xlfn.PERCENTILE.INC(_xlfn._xlws.FILTER(financials[Price ($/MWh)],financials[Settlement Hub]=$N9),P$2)</f>
        <v>46.25</v>
      </c>
      <c r="Q9" s="5" cm="1">
        <f t="array" ref="Q9">_xlfn.PERCENTILE.INC(_xlfn._xlws.FILTER(financials[Price ($/MWh)],financials[Settlement Hub]=$N9),Q$2)</f>
        <v>48.75</v>
      </c>
      <c r="R9" s="5" cm="1">
        <f t="array" ref="R9">_xlfn.PERCENTILE.INC(_xlfn._xlws.FILTER(financials[Price ($/MWh)],financials[Settlement Hub]=$N9),R$2)</f>
        <v>61.599299999999992</v>
      </c>
    </row>
    <row r="10" spans="1:18" x14ac:dyDescent="0.25">
      <c r="A10" t="s">
        <v>311</v>
      </c>
      <c r="B10" t="s">
        <v>260</v>
      </c>
      <c r="C10" s="1" t="s">
        <v>26</v>
      </c>
      <c r="D10" s="1" t="s">
        <v>4</v>
      </c>
      <c r="E10" t="s">
        <v>5</v>
      </c>
      <c r="F10" t="s">
        <v>11</v>
      </c>
      <c r="G10" s="2">
        <v>45960</v>
      </c>
      <c r="H10">
        <v>40</v>
      </c>
      <c r="I10" s="1"/>
      <c r="M10" s="4" t="str">
        <v>ERCOT</v>
      </c>
      <c r="N10" s="4" t="str">
        <v>HB_HOUSTON</v>
      </c>
      <c r="O10" s="5" cm="1">
        <f t="array" ref="O10">_xlfn.PERCENTILE.INC(_xlfn._xlws.FILTER(financials[Price ($/MWh)],financials[Settlement Hub]=$N10),O$2)</f>
        <v>44.8</v>
      </c>
      <c r="P10" s="5" cm="1">
        <f t="array" ref="P10">_xlfn.PERCENTILE.INC(_xlfn._xlws.FILTER(financials[Price ($/MWh)],financials[Settlement Hub]=$N10),P$2)</f>
        <v>48.3</v>
      </c>
      <c r="Q10" s="5" cm="1">
        <f t="array" ref="Q10">_xlfn.PERCENTILE.INC(_xlfn._xlws.FILTER(financials[Price ($/MWh)],financials[Settlement Hub]=$N10),Q$2)</f>
        <v>50</v>
      </c>
      <c r="R10" s="5" cm="1">
        <f t="array" ref="R10">_xlfn.PERCENTILE.INC(_xlfn._xlws.FILTER(financials[Price ($/MWh)],financials[Settlement Hub]=$N10),R$2)</f>
        <v>58.911999999999999</v>
      </c>
    </row>
    <row r="11" spans="1:18" x14ac:dyDescent="0.25">
      <c r="A11" t="s">
        <v>311</v>
      </c>
      <c r="B11" t="s">
        <v>260</v>
      </c>
      <c r="C11" s="1" t="s">
        <v>25</v>
      </c>
      <c r="D11" s="1" t="s">
        <v>4</v>
      </c>
      <c r="E11" t="s">
        <v>5</v>
      </c>
      <c r="F11" t="s">
        <v>11</v>
      </c>
      <c r="G11" s="2">
        <v>45960</v>
      </c>
      <c r="H11">
        <v>46</v>
      </c>
      <c r="I11" s="1"/>
      <c r="M11" s="4" t="str">
        <v>ERCOT</v>
      </c>
      <c r="N11" s="4" t="str">
        <v>HB_WEST</v>
      </c>
      <c r="O11" s="5" cm="1">
        <f t="array" ref="O11">_xlfn.PERCENTILE.INC(_xlfn._xlws.FILTER(financials[Price ($/MWh)],financials[Settlement Hub]=$N11),O$2)</f>
        <v>40.5</v>
      </c>
      <c r="P11" s="5" cm="1">
        <f t="array" ref="P11">_xlfn.PERCENTILE.INC(_xlfn._xlws.FILTER(financials[Price ($/MWh)],financials[Settlement Hub]=$N11),P$2)</f>
        <v>42.5</v>
      </c>
      <c r="Q11" s="5" cm="1">
        <f t="array" ref="Q11">_xlfn.PERCENTILE.INC(_xlfn._xlws.FILTER(financials[Price ($/MWh)],financials[Settlement Hub]=$N11),Q$2)</f>
        <v>45</v>
      </c>
      <c r="R11" s="5" cm="1">
        <f t="array" ref="R11">_xlfn.PERCENTILE.INC(_xlfn._xlws.FILTER(financials[Price ($/MWh)],financials[Settlement Hub]=$N11),R$2)</f>
        <v>51.917500000000004</v>
      </c>
    </row>
    <row r="12" spans="1:18" x14ac:dyDescent="0.25">
      <c r="A12" t="s">
        <v>311</v>
      </c>
      <c r="B12" t="s">
        <v>261</v>
      </c>
      <c r="C12" s="1" t="s">
        <v>94</v>
      </c>
      <c r="D12" s="1" t="s">
        <v>35</v>
      </c>
      <c r="E12" t="s">
        <v>36</v>
      </c>
      <c r="F12" t="s">
        <v>40</v>
      </c>
      <c r="G12" s="2">
        <v>45951</v>
      </c>
      <c r="H12">
        <v>61</v>
      </c>
      <c r="I12" s="1"/>
      <c r="M12" s="4" t="str">
        <v>ISO-NE</v>
      </c>
      <c r="N12" s="4" t="str">
        <v>.Z.MAINE</v>
      </c>
      <c r="O12" s="5" cm="1">
        <f t="array" ref="O12">_xlfn.PERCENTILE.INC(_xlfn._xlws.FILTER(financials[Price ($/MWh)],financials[Settlement Hub]=$N12),O$2)</f>
        <v>62.7</v>
      </c>
      <c r="P12" s="5" cm="1">
        <f t="array" ref="P12">_xlfn.PERCENTILE.INC(_xlfn._xlws.FILTER(financials[Price ($/MWh)],financials[Settlement Hub]=$N12),P$2)</f>
        <v>66.75</v>
      </c>
      <c r="Q12" s="5" cm="1">
        <f t="array" ref="Q12">_xlfn.PERCENTILE.INC(_xlfn._xlws.FILTER(financials[Price ($/MWh)],financials[Settlement Hub]=$N12),Q$2)</f>
        <v>73.5</v>
      </c>
      <c r="R12" s="5" cm="1">
        <f t="array" ref="R12">_xlfn.PERCENTILE.INC(_xlfn._xlws.FILTER(financials[Price ($/MWh)],financials[Settlement Hub]=$N12),R$2)</f>
        <v>86.73</v>
      </c>
    </row>
    <row r="13" spans="1:18" x14ac:dyDescent="0.25">
      <c r="A13" t="s">
        <v>311</v>
      </c>
      <c r="B13" t="s">
        <v>261</v>
      </c>
      <c r="C13" s="1" t="s">
        <v>95</v>
      </c>
      <c r="D13" s="1" t="s">
        <v>39</v>
      </c>
      <c r="E13" t="s">
        <v>36</v>
      </c>
      <c r="F13" t="s">
        <v>96</v>
      </c>
      <c r="G13" s="2">
        <v>45951</v>
      </c>
      <c r="H13">
        <v>59</v>
      </c>
      <c r="I13" s="1"/>
      <c r="M13" s="4" t="str">
        <v>MISO</v>
      </c>
      <c r="N13" s="4" t="str">
        <v>ARKANSAS.HUB</v>
      </c>
      <c r="O13" s="5" cm="1">
        <f t="array" ref="O13">_xlfn.PERCENTILE.INC(_xlfn._xlws.FILTER(financials[Price ($/MWh)],financials[Settlement Hub]=$N13),O$2)</f>
        <v>54.949999999999996</v>
      </c>
      <c r="P13" s="5" cm="1">
        <f t="array" ref="P13">_xlfn.PERCENTILE.INC(_xlfn._xlws.FILTER(financials[Price ($/MWh)],financials[Settlement Hub]=$N13),P$2)</f>
        <v>57</v>
      </c>
      <c r="Q13" s="5" cm="1">
        <f t="array" ref="Q13">_xlfn.PERCENTILE.INC(_xlfn._xlws.FILTER(financials[Price ($/MWh)],financials[Settlement Hub]=$N13),Q$2)</f>
        <v>61.5</v>
      </c>
      <c r="R13" s="5" cm="1">
        <f t="array" ref="R13">_xlfn.PERCENTILE.INC(_xlfn._xlws.FILTER(financials[Price ($/MWh)],financials[Settlement Hub]=$N13),R$2)</f>
        <v>68.855999999999995</v>
      </c>
    </row>
    <row r="14" spans="1:18" x14ac:dyDescent="0.25">
      <c r="A14" t="s">
        <v>311</v>
      </c>
      <c r="B14" t="s">
        <v>261</v>
      </c>
      <c r="C14" s="1" t="s">
        <v>93</v>
      </c>
      <c r="D14" s="1" t="s">
        <v>35</v>
      </c>
      <c r="E14" t="s">
        <v>36</v>
      </c>
      <c r="F14" t="s">
        <v>40</v>
      </c>
      <c r="G14" s="2">
        <v>45951</v>
      </c>
      <c r="H14">
        <v>63</v>
      </c>
      <c r="I14" s="1"/>
      <c r="M14" s="4" t="str">
        <v>MISO</v>
      </c>
      <c r="N14" s="4" t="str">
        <v>LOUISIANA.HUB</v>
      </c>
      <c r="O14" s="5" cm="1">
        <f t="array" ref="O14">_xlfn.PERCENTILE.INC(_xlfn._xlws.FILTER(financials[Price ($/MWh)],financials[Settlement Hub]=$N14),O$2)</f>
        <v>59.747999999999998</v>
      </c>
      <c r="P14" s="5" cm="1">
        <f t="array" ref="P14">_xlfn.PERCENTILE.INC(_xlfn._xlws.FILTER(financials[Price ($/MWh)],financials[Settlement Hub]=$N14),P$2)</f>
        <v>60.870000000000005</v>
      </c>
      <c r="Q14" s="5" cm="1">
        <f t="array" ref="Q14">_xlfn.PERCENTILE.INC(_xlfn._xlws.FILTER(financials[Price ($/MWh)],financials[Settlement Hub]=$N14),Q$2)</f>
        <v>62.74</v>
      </c>
      <c r="R14" s="5" cm="1">
        <f t="array" ref="R14">_xlfn.PERCENTILE.INC(_xlfn._xlws.FILTER(financials[Price ($/MWh)],financials[Settlement Hub]=$N14),R$2)</f>
        <v>62.994799999999998</v>
      </c>
    </row>
    <row r="15" spans="1:18" x14ac:dyDescent="0.25">
      <c r="A15" t="s">
        <v>311</v>
      </c>
      <c r="B15" t="s">
        <v>261</v>
      </c>
      <c r="C15" s="1" t="s">
        <v>92</v>
      </c>
      <c r="D15" s="1" t="s">
        <v>82</v>
      </c>
      <c r="E15" t="s">
        <v>36</v>
      </c>
      <c r="F15" t="s">
        <v>49</v>
      </c>
      <c r="G15" s="2">
        <v>45951</v>
      </c>
      <c r="H15">
        <v>62</v>
      </c>
      <c r="I15" s="1"/>
      <c r="M15" s="4" t="str">
        <v>MISO</v>
      </c>
      <c r="N15" s="4" t="str">
        <v>ILLINOIS.HUB</v>
      </c>
      <c r="O15" s="5" cm="1">
        <f t="array" ref="O15">_xlfn.PERCENTILE.INC(_xlfn._xlws.FILTER(financials[Price ($/MWh)],financials[Settlement Hub]=$N15),O$2)</f>
        <v>56.54</v>
      </c>
      <c r="P15" s="5" cm="1">
        <f t="array" ref="P15">_xlfn.PERCENTILE.INC(_xlfn._xlws.FILTER(financials[Price ($/MWh)],financials[Settlement Hub]=$N15),P$2)</f>
        <v>59</v>
      </c>
      <c r="Q15" s="5" cm="1">
        <f t="array" ref="Q15">_xlfn.PERCENTILE.INC(_xlfn._xlws.FILTER(financials[Price ($/MWh)],financials[Settlement Hub]=$N15),Q$2)</f>
        <v>62</v>
      </c>
      <c r="R15" s="5" cm="1">
        <f t="array" ref="R15">_xlfn.PERCENTILE.INC(_xlfn._xlws.FILTER(financials[Price ($/MWh)],financials[Settlement Hub]=$N15),R$2)</f>
        <v>78.054999999999993</v>
      </c>
    </row>
    <row r="16" spans="1:18" x14ac:dyDescent="0.25">
      <c r="A16" t="s">
        <v>311</v>
      </c>
      <c r="B16" t="s">
        <v>261</v>
      </c>
      <c r="C16" s="1" t="s">
        <v>91</v>
      </c>
      <c r="D16" s="1" t="s">
        <v>90</v>
      </c>
      <c r="E16" t="s">
        <v>36</v>
      </c>
      <c r="F16" t="s">
        <v>49</v>
      </c>
      <c r="G16" s="2">
        <v>45951</v>
      </c>
      <c r="H16">
        <v>60</v>
      </c>
      <c r="I16" s="1"/>
      <c r="M16" s="4" t="str">
        <v>MISO</v>
      </c>
      <c r="N16" s="4" t="str">
        <v>INDIANA.HUB</v>
      </c>
      <c r="O16" s="5" cm="1">
        <f t="array" ref="O16">_xlfn.PERCENTILE.INC(_xlfn._xlws.FILTER(financials[Price ($/MWh)],financials[Settlement Hub]=$N16),O$2)</f>
        <v>61.603999999999999</v>
      </c>
      <c r="P16" s="5" cm="1">
        <f t="array" ref="P16">_xlfn.PERCENTILE.INC(_xlfn._xlws.FILTER(financials[Price ($/MWh)],financials[Settlement Hub]=$N16),P$2)</f>
        <v>64.5</v>
      </c>
      <c r="Q16" s="5" cm="1">
        <f t="array" ref="Q16">_xlfn.PERCENTILE.INC(_xlfn._xlws.FILTER(financials[Price ($/MWh)],financials[Settlement Hub]=$N16),Q$2)</f>
        <v>68.5</v>
      </c>
      <c r="R16" s="5" cm="1">
        <f t="array" ref="R16">_xlfn.PERCENTILE.INC(_xlfn._xlws.FILTER(financials[Price ($/MWh)],financials[Settlement Hub]=$N16),R$2)</f>
        <v>77.2</v>
      </c>
    </row>
    <row r="17" spans="1:18" x14ac:dyDescent="0.25">
      <c r="A17" t="s">
        <v>311</v>
      </c>
      <c r="B17" t="s">
        <v>261</v>
      </c>
      <c r="C17" s="1" t="s">
        <v>89</v>
      </c>
      <c r="D17" s="1" t="s">
        <v>90</v>
      </c>
      <c r="E17" t="s">
        <v>36</v>
      </c>
      <c r="F17" t="s">
        <v>49</v>
      </c>
      <c r="G17" s="2">
        <v>45951</v>
      </c>
      <c r="H17">
        <v>58</v>
      </c>
      <c r="I17" s="1"/>
      <c r="M17" s="4" t="str">
        <v>MISO</v>
      </c>
      <c r="N17" s="4" t="str">
        <v>MINN.HUB</v>
      </c>
      <c r="O17" s="5" cm="1">
        <f t="array" ref="O17">_xlfn.PERCENTILE.INC(_xlfn._xlws.FILTER(financials[Price ($/MWh)],financials[Settlement Hub]=$N17),O$2)</f>
        <v>59.6</v>
      </c>
      <c r="P17" s="5" cm="1">
        <f t="array" ref="P17">_xlfn.PERCENTILE.INC(_xlfn._xlws.FILTER(financials[Price ($/MWh)],financials[Settlement Hub]=$N17),P$2)</f>
        <v>65</v>
      </c>
      <c r="Q17" s="5" cm="1">
        <f t="array" ref="Q17">_xlfn.PERCENTILE.INC(_xlfn._xlws.FILTER(financials[Price ($/MWh)],financials[Settlement Hub]=$N17),Q$2)</f>
        <v>73.5</v>
      </c>
      <c r="R17" s="5" cm="1">
        <f t="array" ref="R17">_xlfn.PERCENTILE.INC(_xlfn._xlws.FILTER(financials[Price ($/MWh)],financials[Settlement Hub]=$N17),R$2)</f>
        <v>89.388699999999986</v>
      </c>
    </row>
    <row r="18" spans="1:18" x14ac:dyDescent="0.25">
      <c r="A18" t="s">
        <v>311</v>
      </c>
      <c r="B18" t="s">
        <v>261</v>
      </c>
      <c r="C18" s="1" t="s">
        <v>97</v>
      </c>
      <c r="D18" s="1" t="s">
        <v>35</v>
      </c>
      <c r="E18" t="s">
        <v>36</v>
      </c>
      <c r="F18" t="s">
        <v>40</v>
      </c>
      <c r="G18" s="2">
        <v>45951</v>
      </c>
      <c r="H18">
        <v>64</v>
      </c>
      <c r="I18" s="1"/>
      <c r="M18" s="4" t="str">
        <v>MISO</v>
      </c>
      <c r="N18" s="4" t="str">
        <v>MISSISSIPPI</v>
      </c>
      <c r="O18" s="5" cm="1">
        <f t="array" ref="O18">_xlfn.PERCENTILE.INC(_xlfn._xlws.FILTER(financials[Price ($/MWh)],financials[Settlement Hub]=$N18),O$2)</f>
        <v>61.36</v>
      </c>
      <c r="P18" s="5" cm="1">
        <f t="array" ref="P18">_xlfn.PERCENTILE.INC(_xlfn._xlws.FILTER(financials[Price ($/MWh)],financials[Settlement Hub]=$N18),P$2)</f>
        <v>61.36</v>
      </c>
      <c r="Q18" s="5" cm="1">
        <f t="array" ref="Q18">_xlfn.PERCENTILE.INC(_xlfn._xlws.FILTER(financials[Price ($/MWh)],financials[Settlement Hub]=$N18),Q$2)</f>
        <v>61.36</v>
      </c>
      <c r="R18" s="5" cm="1">
        <f t="array" ref="R18">_xlfn.PERCENTILE.INC(_xlfn._xlws.FILTER(financials[Price ($/MWh)],financials[Settlement Hub]=$N18),R$2)</f>
        <v>61.36</v>
      </c>
    </row>
    <row r="19" spans="1:18" x14ac:dyDescent="0.25">
      <c r="A19" t="s">
        <v>311</v>
      </c>
      <c r="B19" t="s">
        <v>261</v>
      </c>
      <c r="C19" s="1" t="s">
        <v>88</v>
      </c>
      <c r="D19" s="1" t="s">
        <v>35</v>
      </c>
      <c r="E19" t="s">
        <v>36</v>
      </c>
      <c r="F19" t="s">
        <v>40</v>
      </c>
      <c r="G19" s="2">
        <v>45951</v>
      </c>
      <c r="H19">
        <v>57</v>
      </c>
      <c r="I19" s="1"/>
      <c r="M19" s="4" t="str">
        <v>MISO</v>
      </c>
      <c r="N19" s="4" t="str">
        <v>MICHIGAN.HUB</v>
      </c>
      <c r="O19" s="5" cm="1">
        <f t="array" ref="O19">_xlfn.PERCENTILE.INC(_xlfn._xlws.FILTER(financials[Price ($/MWh)],financials[Settlement Hub]=$N19),O$2)</f>
        <v>85</v>
      </c>
      <c r="P19" s="5" cm="1">
        <f t="array" ref="P19">_xlfn.PERCENTILE.INC(_xlfn._xlws.FILTER(financials[Price ($/MWh)],financials[Settlement Hub]=$N19),P$2)</f>
        <v>85</v>
      </c>
      <c r="Q19" s="5" cm="1">
        <f t="array" ref="Q19">_xlfn.PERCENTILE.INC(_xlfn._xlws.FILTER(financials[Price ($/MWh)],financials[Settlement Hub]=$N19),Q$2)</f>
        <v>85</v>
      </c>
      <c r="R19" s="5" cm="1">
        <f t="array" ref="R19">_xlfn.PERCENTILE.INC(_xlfn._xlws.FILTER(financials[Price ($/MWh)],financials[Settlement Hub]=$N19),R$2)</f>
        <v>85</v>
      </c>
    </row>
    <row r="20" spans="1:18" x14ac:dyDescent="0.25">
      <c r="A20" t="s">
        <v>311</v>
      </c>
      <c r="B20" t="s">
        <v>261</v>
      </c>
      <c r="C20" s="1" t="s">
        <v>34</v>
      </c>
      <c r="D20" s="1" t="s">
        <v>35</v>
      </c>
      <c r="E20" t="s">
        <v>36</v>
      </c>
      <c r="F20" t="s">
        <v>40</v>
      </c>
      <c r="G20" s="2">
        <v>45951</v>
      </c>
      <c r="H20">
        <v>69</v>
      </c>
      <c r="I20" s="1"/>
      <c r="M20" s="4" t="str">
        <v>PJM</v>
      </c>
      <c r="N20" s="4" t="str">
        <v>AEP-DAYTON HUB</v>
      </c>
      <c r="O20" s="5" cm="1">
        <f t="array" ref="O20">_xlfn.PERCENTILE.INC(_xlfn._xlws.FILTER(financials[Price ($/MWh)],financials[Settlement Hub]=$N20),O$2)</f>
        <v>65.95</v>
      </c>
      <c r="P20" s="5" cm="1">
        <f t="array" ref="P20">_xlfn.PERCENTILE.INC(_xlfn._xlws.FILTER(financials[Price ($/MWh)],financials[Settlement Hub]=$N20),P$2)</f>
        <v>68.612500000000011</v>
      </c>
      <c r="Q20" s="5" cm="1">
        <f t="array" ref="Q20">_xlfn.PERCENTILE.INC(_xlfn._xlws.FILTER(financials[Price ($/MWh)],financials[Settlement Hub]=$N20),Q$2)</f>
        <v>70.259999999999991</v>
      </c>
      <c r="R20" s="5" cm="1">
        <f t="array" ref="R20">_xlfn.PERCENTILE.INC(_xlfn._xlws.FILTER(financials[Price ($/MWh)],financials[Settlement Hub]=$N20),R$2)</f>
        <v>84.8125</v>
      </c>
    </row>
    <row r="21" spans="1:18" x14ac:dyDescent="0.25">
      <c r="A21" t="s">
        <v>311</v>
      </c>
      <c r="B21" t="s">
        <v>261</v>
      </c>
      <c r="C21" s="1" t="s">
        <v>87</v>
      </c>
      <c r="D21" s="1" t="s">
        <v>82</v>
      </c>
      <c r="E21" t="s">
        <v>36</v>
      </c>
      <c r="F21" t="s">
        <v>49</v>
      </c>
      <c r="G21" s="2">
        <v>45951</v>
      </c>
      <c r="H21">
        <v>65</v>
      </c>
      <c r="I21" s="1"/>
      <c r="M21" s="4" t="str">
        <v>PJM</v>
      </c>
      <c r="N21" s="4" t="str">
        <v>WESTERN HUB</v>
      </c>
      <c r="O21" s="5" cm="1">
        <f t="array" ref="O21">_xlfn.PERCENTILE.INC(_xlfn._xlws.FILTER(financials[Price ($/MWh)],financials[Settlement Hub]=$N21),O$2)</f>
        <v>72.336000000000013</v>
      </c>
      <c r="P21" s="5" cm="1">
        <f t="array" ref="P21">_xlfn.PERCENTILE.INC(_xlfn._xlws.FILTER(financials[Price ($/MWh)],financials[Settlement Hub]=$N21),P$2)</f>
        <v>75</v>
      </c>
      <c r="Q21" s="5" cm="1">
        <f t="array" ref="Q21">_xlfn.PERCENTILE.INC(_xlfn._xlws.FILTER(financials[Price ($/MWh)],financials[Settlement Hub]=$N21),Q$2)</f>
        <v>75</v>
      </c>
      <c r="R21" s="5" cm="1">
        <f t="array" ref="R21">_xlfn.PERCENTILE.INC(_xlfn._xlws.FILTER(financials[Price ($/MWh)],financials[Settlement Hub]=$N21),R$2)</f>
        <v>86.335000000000008</v>
      </c>
    </row>
    <row r="22" spans="1:18" x14ac:dyDescent="0.25">
      <c r="A22" t="s">
        <v>311</v>
      </c>
      <c r="B22" t="s">
        <v>261</v>
      </c>
      <c r="C22" s="1" t="s">
        <v>37</v>
      </c>
      <c r="D22" s="1" t="s">
        <v>35</v>
      </c>
      <c r="E22" t="s">
        <v>36</v>
      </c>
      <c r="F22" t="s">
        <v>40</v>
      </c>
      <c r="G22" s="2">
        <v>45951</v>
      </c>
      <c r="H22">
        <v>67</v>
      </c>
      <c r="I22" s="1"/>
      <c r="M22" s="4" t="str">
        <v>PJM</v>
      </c>
      <c r="N22" s="4" t="str">
        <v>N ILLINOIS HUB</v>
      </c>
      <c r="O22" s="5" cm="1">
        <f t="array" ref="O22">_xlfn.PERCENTILE.INC(_xlfn._xlws.FILTER(financials[Price ($/MWh)],financials[Settlement Hub]=$N22),O$2)</f>
        <v>69.2</v>
      </c>
      <c r="P22" s="5" cm="1">
        <f t="array" ref="P22">_xlfn.PERCENTILE.INC(_xlfn._xlws.FILTER(financials[Price ($/MWh)],financials[Settlement Hub]=$N22),P$2)</f>
        <v>71</v>
      </c>
      <c r="Q22" s="5" cm="1">
        <f t="array" ref="Q22">_xlfn.PERCENTILE.INC(_xlfn._xlws.FILTER(financials[Price ($/MWh)],financials[Settlement Hub]=$N22),Q$2)</f>
        <v>74</v>
      </c>
      <c r="R22" s="5" cm="1">
        <f t="array" ref="R22">_xlfn.PERCENTILE.INC(_xlfn._xlws.FILTER(financials[Price ($/MWh)],financials[Settlement Hub]=$N22),R$2)</f>
        <v>79.88</v>
      </c>
    </row>
    <row r="23" spans="1:18" x14ac:dyDescent="0.25">
      <c r="A23" t="s">
        <v>311</v>
      </c>
      <c r="B23" t="s">
        <v>261</v>
      </c>
      <c r="C23" s="1" t="s">
        <v>86</v>
      </c>
      <c r="D23" s="1" t="s">
        <v>35</v>
      </c>
      <c r="E23" t="s">
        <v>36</v>
      </c>
      <c r="F23" t="s">
        <v>40</v>
      </c>
      <c r="G23" s="2">
        <v>45951</v>
      </c>
      <c r="H23">
        <v>67</v>
      </c>
      <c r="I23" s="1"/>
      <c r="M23" s="4" t="str">
        <v>PJM</v>
      </c>
      <c r="N23" s="4" t="str">
        <v>AEP</v>
      </c>
      <c r="O23" s="5" cm="1">
        <f t="array" ref="O23">_xlfn.PERCENTILE.INC(_xlfn._xlws.FILTER(financials[Price ($/MWh)],financials[Settlement Hub]=$N23),O$2)</f>
        <v>69.400000000000006</v>
      </c>
      <c r="P23" s="5" cm="1">
        <f t="array" ref="P23">_xlfn.PERCENTILE.INC(_xlfn._xlws.FILTER(financials[Price ($/MWh)],financials[Settlement Hub]=$N23),P$2)</f>
        <v>69.400000000000006</v>
      </c>
      <c r="Q23" s="5" cm="1">
        <f t="array" ref="Q23">_xlfn.PERCENTILE.INC(_xlfn._xlws.FILTER(financials[Price ($/MWh)],financials[Settlement Hub]=$N23),Q$2)</f>
        <v>69.400000000000006</v>
      </c>
      <c r="R23" s="5" cm="1">
        <f t="array" ref="R23">_xlfn.PERCENTILE.INC(_xlfn._xlws.FILTER(financials[Price ($/MWh)],financials[Settlement Hub]=$N23),R$2)</f>
        <v>69.400000000000006</v>
      </c>
    </row>
    <row r="24" spans="1:18" x14ac:dyDescent="0.25">
      <c r="A24" t="s">
        <v>311</v>
      </c>
      <c r="B24" t="s">
        <v>262</v>
      </c>
      <c r="C24" s="1" t="s">
        <v>106</v>
      </c>
      <c r="D24" s="1" t="s">
        <v>4</v>
      </c>
      <c r="E24" t="s">
        <v>5</v>
      </c>
      <c r="F24" t="s">
        <v>11</v>
      </c>
      <c r="G24" s="2">
        <v>45946</v>
      </c>
      <c r="H24">
        <v>46</v>
      </c>
      <c r="I24" s="1"/>
      <c r="M24" s="4" t="str">
        <v>SPP</v>
      </c>
      <c r="N24" s="4" t="str">
        <v>SPPSOUTH_HUB</v>
      </c>
      <c r="O24" s="5" cm="1">
        <f t="array" ref="O24">_xlfn.PERCENTILE.INC(_xlfn._xlws.FILTER(financials[Price ($/MWh)],financials[Settlement Hub]=$N24),O$2)</f>
        <v>39.6</v>
      </c>
      <c r="P24" s="5" cm="1">
        <f t="array" ref="P24">_xlfn.PERCENTILE.INC(_xlfn._xlws.FILTER(financials[Price ($/MWh)],financials[Settlement Hub]=$N24),P$2)</f>
        <v>43.15</v>
      </c>
      <c r="Q24" s="5" cm="1">
        <f t="array" ref="Q24">_xlfn.PERCENTILE.INC(_xlfn._xlws.FILTER(financials[Price ($/MWh)],financials[Settlement Hub]=$N24),Q$2)</f>
        <v>47.95</v>
      </c>
      <c r="R24" s="5" cm="1">
        <f t="array" ref="R24">_xlfn.PERCENTILE.INC(_xlfn._xlws.FILTER(financials[Price ($/MWh)],financials[Settlement Hub]=$N24),R$2)</f>
        <v>64.575000000000003</v>
      </c>
    </row>
    <row r="25" spans="1:18" x14ac:dyDescent="0.25">
      <c r="A25" t="s">
        <v>311</v>
      </c>
      <c r="B25" t="s">
        <v>262</v>
      </c>
      <c r="C25" s="1" t="s">
        <v>104</v>
      </c>
      <c r="D25" s="1" t="s">
        <v>4</v>
      </c>
      <c r="E25" t="s">
        <v>5</v>
      </c>
      <c r="F25" t="s">
        <v>11</v>
      </c>
      <c r="G25" s="2">
        <v>45946</v>
      </c>
      <c r="H25">
        <v>48.8</v>
      </c>
      <c r="I25" s="1"/>
      <c r="M25" s="4" t="str">
        <v>SPP</v>
      </c>
      <c r="N25" s="4" t="str">
        <v>SPPNORTH_HUB</v>
      </c>
      <c r="O25" s="5" cm="1">
        <f t="array" ref="O25">_xlfn.PERCENTILE.INC(_xlfn._xlws.FILTER(financials[Price ($/MWh)],financials[Settlement Hub]=$N25),O$2)</f>
        <v>46.902999999999999</v>
      </c>
      <c r="P25" s="5" cm="1">
        <f t="array" ref="P25">_xlfn.PERCENTILE.INC(_xlfn._xlws.FILTER(financials[Price ($/MWh)],financials[Settlement Hub]=$N25),P$2)</f>
        <v>50.432499999999997</v>
      </c>
      <c r="Q25" s="5" cm="1">
        <f t="array" ref="Q25">_xlfn.PERCENTILE.INC(_xlfn._xlws.FILTER(financials[Price ($/MWh)],financials[Settlement Hub]=$N25),Q$2)</f>
        <v>56.314999999999998</v>
      </c>
      <c r="R25" s="5" cm="1">
        <f t="array" ref="R25">_xlfn.PERCENTILE.INC(_xlfn._xlws.FILTER(financials[Price ($/MWh)],financials[Settlement Hub]=$N25),R$2)</f>
        <v>67.844700000000003</v>
      </c>
    </row>
    <row r="26" spans="1:18" x14ac:dyDescent="0.25">
      <c r="A26" t="s">
        <v>311</v>
      </c>
      <c r="B26" t="s">
        <v>262</v>
      </c>
      <c r="C26" s="1" t="s">
        <v>103</v>
      </c>
      <c r="D26" s="1" t="s">
        <v>4</v>
      </c>
      <c r="E26" t="s">
        <v>5</v>
      </c>
      <c r="F26" t="s">
        <v>9</v>
      </c>
      <c r="G26" s="2">
        <v>45946</v>
      </c>
      <c r="H26">
        <v>55</v>
      </c>
      <c r="I26" s="1"/>
      <c r="O26" s="3"/>
      <c r="P26" s="3"/>
      <c r="Q26" s="3"/>
      <c r="R26" s="3"/>
    </row>
    <row r="27" spans="1:18" x14ac:dyDescent="0.25">
      <c r="A27" t="s">
        <v>311</v>
      </c>
      <c r="B27" t="s">
        <v>262</v>
      </c>
      <c r="C27" s="1" t="s">
        <v>101</v>
      </c>
      <c r="D27" s="1" t="s">
        <v>102</v>
      </c>
      <c r="E27" t="s">
        <v>61</v>
      </c>
      <c r="F27" t="s">
        <v>166</v>
      </c>
      <c r="G27" s="2">
        <v>45946</v>
      </c>
      <c r="H27">
        <v>79</v>
      </c>
      <c r="I27" s="1"/>
      <c r="O27" s="3"/>
      <c r="P27" s="3"/>
      <c r="Q27" s="3"/>
      <c r="R27" s="3"/>
    </row>
    <row r="28" spans="1:18" x14ac:dyDescent="0.25">
      <c r="A28" t="s">
        <v>311</v>
      </c>
      <c r="B28" t="s">
        <v>263</v>
      </c>
      <c r="C28" s="1" t="s">
        <v>122</v>
      </c>
      <c r="D28" s="1" t="s">
        <v>123</v>
      </c>
      <c r="E28" t="s">
        <v>36</v>
      </c>
      <c r="F28" t="s">
        <v>124</v>
      </c>
      <c r="G28" s="2">
        <v>45806</v>
      </c>
      <c r="H28">
        <v>73.75</v>
      </c>
      <c r="I28" s="1"/>
      <c r="N28" s="3"/>
      <c r="O28" s="3"/>
      <c r="P28" s="3"/>
      <c r="Q28" s="3"/>
      <c r="R28" s="3"/>
    </row>
    <row r="29" spans="1:18" x14ac:dyDescent="0.25">
      <c r="A29" t="s">
        <v>311</v>
      </c>
      <c r="B29" t="s">
        <v>263</v>
      </c>
      <c r="C29" s="1" t="s">
        <v>122</v>
      </c>
      <c r="D29" s="1" t="s">
        <v>123</v>
      </c>
      <c r="E29" t="s">
        <v>36</v>
      </c>
      <c r="F29" t="s">
        <v>124</v>
      </c>
      <c r="G29" s="2">
        <v>45806</v>
      </c>
      <c r="H29">
        <v>77.5</v>
      </c>
      <c r="I29" s="1"/>
    </row>
    <row r="30" spans="1:18" x14ac:dyDescent="0.25">
      <c r="A30" t="s">
        <v>311</v>
      </c>
      <c r="B30" t="s">
        <v>264</v>
      </c>
      <c r="C30" s="1" t="s">
        <v>121</v>
      </c>
      <c r="D30" s="1" t="s">
        <v>4</v>
      </c>
      <c r="E30" t="s">
        <v>5</v>
      </c>
      <c r="F30" t="s">
        <v>11</v>
      </c>
      <c r="G30" s="2">
        <v>45806</v>
      </c>
      <c r="H30">
        <v>44</v>
      </c>
      <c r="I30" s="1"/>
    </row>
    <row r="31" spans="1:18" x14ac:dyDescent="0.25">
      <c r="A31" t="s">
        <v>311</v>
      </c>
      <c r="B31" t="s">
        <v>264</v>
      </c>
      <c r="C31" s="1" t="s">
        <v>120</v>
      </c>
      <c r="D31" s="1" t="s">
        <v>4</v>
      </c>
      <c r="E31" t="s">
        <v>5</v>
      </c>
      <c r="F31" t="s">
        <v>11</v>
      </c>
      <c r="G31" s="2">
        <v>45806</v>
      </c>
      <c r="H31">
        <v>41</v>
      </c>
      <c r="I31" s="1"/>
    </row>
    <row r="32" spans="1:18" x14ac:dyDescent="0.25">
      <c r="A32" t="s">
        <v>311</v>
      </c>
      <c r="B32" t="s">
        <v>264</v>
      </c>
      <c r="C32" s="1" t="s">
        <v>119</v>
      </c>
      <c r="D32" s="1" t="s">
        <v>4</v>
      </c>
      <c r="E32" t="s">
        <v>5</v>
      </c>
      <c r="F32" t="s">
        <v>11</v>
      </c>
      <c r="G32" s="2">
        <v>45806</v>
      </c>
      <c r="H32">
        <v>44</v>
      </c>
      <c r="I32" s="1"/>
    </row>
    <row r="33" spans="1:9" x14ac:dyDescent="0.25">
      <c r="A33" t="s">
        <v>312</v>
      </c>
      <c r="B33" t="s">
        <v>262</v>
      </c>
      <c r="C33" s="1" t="s">
        <v>107</v>
      </c>
      <c r="D33" s="1" t="s">
        <v>4</v>
      </c>
      <c r="E33" t="s">
        <v>5</v>
      </c>
      <c r="F33" t="s">
        <v>11</v>
      </c>
      <c r="G33" s="2">
        <v>45946</v>
      </c>
      <c r="H33">
        <v>51.5</v>
      </c>
      <c r="I33" s="1"/>
    </row>
    <row r="34" spans="1:9" x14ac:dyDescent="0.25">
      <c r="A34" t="s">
        <v>312</v>
      </c>
      <c r="B34" t="s">
        <v>262</v>
      </c>
      <c r="C34" s="1" t="s">
        <v>105</v>
      </c>
      <c r="D34" s="1" t="s">
        <v>44</v>
      </c>
      <c r="E34" t="s">
        <v>45</v>
      </c>
      <c r="F34" t="s">
        <v>99</v>
      </c>
      <c r="G34" s="2">
        <v>45946</v>
      </c>
      <c r="H34">
        <v>55</v>
      </c>
      <c r="I34" s="1"/>
    </row>
    <row r="35" spans="1:9" x14ac:dyDescent="0.25">
      <c r="A35" t="s">
        <v>312</v>
      </c>
      <c r="B35" t="s">
        <v>262</v>
      </c>
      <c r="C35" s="1" t="s">
        <v>98</v>
      </c>
      <c r="D35" s="1" t="s">
        <v>44</v>
      </c>
      <c r="E35" t="s">
        <v>45</v>
      </c>
      <c r="F35" t="s">
        <v>99</v>
      </c>
      <c r="G35" s="2">
        <v>45946</v>
      </c>
      <c r="H35">
        <v>55</v>
      </c>
      <c r="I35" s="1"/>
    </row>
    <row r="36" spans="1:9" x14ac:dyDescent="0.25">
      <c r="A36" t="s">
        <v>312</v>
      </c>
      <c r="B36" t="s">
        <v>262</v>
      </c>
      <c r="C36" s="1" t="s">
        <v>100</v>
      </c>
      <c r="D36" s="1" t="s">
        <v>4</v>
      </c>
      <c r="E36" t="s">
        <v>74</v>
      </c>
      <c r="F36" t="s">
        <v>75</v>
      </c>
      <c r="G36" s="2">
        <v>45946</v>
      </c>
      <c r="H36">
        <v>58.6</v>
      </c>
      <c r="I36" s="1"/>
    </row>
    <row r="37" spans="1:9" x14ac:dyDescent="0.25">
      <c r="A37" t="s">
        <v>311</v>
      </c>
      <c r="B37" t="s">
        <v>265</v>
      </c>
      <c r="C37" s="1" t="s">
        <v>111</v>
      </c>
      <c r="D37" s="1" t="s">
        <v>4</v>
      </c>
      <c r="E37" t="s">
        <v>5</v>
      </c>
      <c r="F37" t="s">
        <v>6</v>
      </c>
      <c r="G37" s="2">
        <v>45944</v>
      </c>
      <c r="H37">
        <v>49.9</v>
      </c>
      <c r="I37" s="1"/>
    </row>
    <row r="38" spans="1:9" x14ac:dyDescent="0.25">
      <c r="A38" t="s">
        <v>311</v>
      </c>
      <c r="B38" t="s">
        <v>265</v>
      </c>
      <c r="C38" s="1" t="s">
        <v>110</v>
      </c>
      <c r="D38" s="1" t="s">
        <v>4</v>
      </c>
      <c r="E38" t="s">
        <v>5</v>
      </c>
      <c r="F38" t="s">
        <v>6</v>
      </c>
      <c r="G38" s="2">
        <v>45944</v>
      </c>
      <c r="H38">
        <v>50.49</v>
      </c>
      <c r="I38" s="1"/>
    </row>
    <row r="39" spans="1:9" x14ac:dyDescent="0.25">
      <c r="A39" t="s">
        <v>311</v>
      </c>
      <c r="B39" t="s">
        <v>265</v>
      </c>
      <c r="C39" s="1" t="s">
        <v>109</v>
      </c>
      <c r="D39" s="1" t="s">
        <v>4</v>
      </c>
      <c r="E39" t="s">
        <v>5</v>
      </c>
      <c r="F39" t="s">
        <v>6</v>
      </c>
      <c r="G39" s="2">
        <v>45944</v>
      </c>
      <c r="H39">
        <v>51.06</v>
      </c>
      <c r="I39" s="1"/>
    </row>
    <row r="40" spans="1:9" x14ac:dyDescent="0.25">
      <c r="A40" t="s">
        <v>311</v>
      </c>
      <c r="B40" t="s">
        <v>260</v>
      </c>
      <c r="C40" s="1" t="s">
        <v>84</v>
      </c>
      <c r="D40" s="1" t="s">
        <v>4</v>
      </c>
      <c r="E40" t="s">
        <v>5</v>
      </c>
      <c r="F40" t="s">
        <v>11</v>
      </c>
      <c r="G40" s="2">
        <v>45960</v>
      </c>
      <c r="H40">
        <v>40</v>
      </c>
      <c r="I40" s="1"/>
    </row>
    <row r="41" spans="1:9" x14ac:dyDescent="0.25">
      <c r="A41" t="s">
        <v>311</v>
      </c>
      <c r="B41" t="s">
        <v>260</v>
      </c>
      <c r="C41" s="1" t="s">
        <v>85</v>
      </c>
      <c r="D41" s="1" t="s">
        <v>4</v>
      </c>
      <c r="E41" t="s">
        <v>5</v>
      </c>
      <c r="F41" t="s">
        <v>11</v>
      </c>
      <c r="G41" s="2">
        <v>45960</v>
      </c>
      <c r="H41">
        <v>46</v>
      </c>
      <c r="I41" s="1"/>
    </row>
    <row r="42" spans="1:9" x14ac:dyDescent="0.25">
      <c r="A42" t="s">
        <v>311</v>
      </c>
      <c r="B42" t="s">
        <v>265</v>
      </c>
      <c r="C42" s="1" t="s">
        <v>113</v>
      </c>
      <c r="D42" s="1" t="s">
        <v>4</v>
      </c>
      <c r="E42" t="s">
        <v>5</v>
      </c>
      <c r="F42" t="s">
        <v>6</v>
      </c>
      <c r="G42" s="2">
        <v>45944</v>
      </c>
      <c r="H42">
        <v>50.9</v>
      </c>
      <c r="I42" s="1"/>
    </row>
    <row r="43" spans="1:9" x14ac:dyDescent="0.25">
      <c r="A43" t="s">
        <v>311</v>
      </c>
      <c r="B43" t="s">
        <v>265</v>
      </c>
      <c r="C43" s="1" t="s">
        <v>112</v>
      </c>
      <c r="D43" s="1" t="s">
        <v>4</v>
      </c>
      <c r="E43" t="s">
        <v>5</v>
      </c>
      <c r="F43" t="s">
        <v>6</v>
      </c>
      <c r="G43" s="2">
        <v>45944</v>
      </c>
      <c r="H43">
        <v>51.49</v>
      </c>
      <c r="I43" s="1"/>
    </row>
    <row r="44" spans="1:9" x14ac:dyDescent="0.25">
      <c r="A44" t="s">
        <v>311</v>
      </c>
      <c r="B44" t="s">
        <v>265</v>
      </c>
      <c r="C44" s="1" t="s">
        <v>108</v>
      </c>
      <c r="D44" s="1" t="s">
        <v>4</v>
      </c>
      <c r="E44" t="s">
        <v>5</v>
      </c>
      <c r="F44" t="s">
        <v>6</v>
      </c>
      <c r="G44" s="2">
        <v>45944</v>
      </c>
      <c r="H44">
        <v>52.06</v>
      </c>
      <c r="I44" s="1"/>
    </row>
    <row r="45" spans="1:9" x14ac:dyDescent="0.25">
      <c r="A45" t="s">
        <v>311</v>
      </c>
      <c r="B45" t="s">
        <v>266</v>
      </c>
      <c r="C45" s="1" t="s">
        <v>114</v>
      </c>
      <c r="D45" s="1" t="s">
        <v>115</v>
      </c>
      <c r="E45" t="s">
        <v>61</v>
      </c>
      <c r="F45" t="s">
        <v>70</v>
      </c>
      <c r="G45" s="2">
        <v>45922</v>
      </c>
      <c r="H45">
        <v>85</v>
      </c>
      <c r="I45" s="1"/>
    </row>
    <row r="46" spans="1:9" x14ac:dyDescent="0.25">
      <c r="A46" t="s">
        <v>311</v>
      </c>
      <c r="B46" t="s">
        <v>266</v>
      </c>
      <c r="C46" s="1" t="s">
        <v>116</v>
      </c>
      <c r="D46" s="1" t="s">
        <v>115</v>
      </c>
      <c r="E46" t="s">
        <v>61</v>
      </c>
      <c r="F46" t="s">
        <v>70</v>
      </c>
      <c r="G46" s="2">
        <v>45922</v>
      </c>
      <c r="H46">
        <v>75</v>
      </c>
      <c r="I46" s="1"/>
    </row>
    <row r="47" spans="1:9" x14ac:dyDescent="0.25">
      <c r="A47" t="s">
        <v>311</v>
      </c>
      <c r="B47" t="s">
        <v>267</v>
      </c>
      <c r="C47" s="1" t="s">
        <v>83</v>
      </c>
      <c r="D47" s="1" t="s">
        <v>4</v>
      </c>
      <c r="E47" t="s">
        <v>5</v>
      </c>
      <c r="F47" t="s">
        <v>9</v>
      </c>
      <c r="G47" s="2">
        <v>45916</v>
      </c>
      <c r="H47">
        <v>48.3</v>
      </c>
      <c r="I47" s="1"/>
    </row>
    <row r="48" spans="1:9" x14ac:dyDescent="0.25">
      <c r="A48" t="s">
        <v>311</v>
      </c>
      <c r="B48" t="s">
        <v>268</v>
      </c>
      <c r="C48" s="1" t="s">
        <v>117</v>
      </c>
      <c r="D48" s="1" t="s">
        <v>115</v>
      </c>
      <c r="E48" t="s">
        <v>61</v>
      </c>
      <c r="F48" t="s">
        <v>70</v>
      </c>
      <c r="G48" s="2">
        <v>45916</v>
      </c>
      <c r="H48">
        <v>84.6</v>
      </c>
      <c r="I48" s="1"/>
    </row>
    <row r="49" spans="1:9" x14ac:dyDescent="0.25">
      <c r="A49" t="s">
        <v>311</v>
      </c>
      <c r="B49" t="s">
        <v>269</v>
      </c>
      <c r="C49" s="1" t="s">
        <v>80</v>
      </c>
      <c r="D49" s="1" t="s">
        <v>4</v>
      </c>
      <c r="E49" t="s">
        <v>5</v>
      </c>
      <c r="F49" t="s">
        <v>13</v>
      </c>
      <c r="G49" s="2">
        <v>45888</v>
      </c>
      <c r="H49">
        <v>49.5</v>
      </c>
      <c r="I49" s="1"/>
    </row>
    <row r="50" spans="1:9" x14ac:dyDescent="0.25">
      <c r="A50" t="s">
        <v>313</v>
      </c>
      <c r="B50" t="s">
        <v>270</v>
      </c>
      <c r="C50" s="1" t="s">
        <v>79</v>
      </c>
      <c r="D50" s="1" t="s">
        <v>4</v>
      </c>
      <c r="E50" t="s">
        <v>5</v>
      </c>
      <c r="F50" t="s">
        <v>6</v>
      </c>
      <c r="G50" s="2">
        <v>45875</v>
      </c>
      <c r="H50">
        <v>42</v>
      </c>
      <c r="I50" s="1"/>
    </row>
    <row r="51" spans="1:9" x14ac:dyDescent="0.25">
      <c r="A51" t="s">
        <v>313</v>
      </c>
      <c r="B51" t="s">
        <v>270</v>
      </c>
      <c r="C51" s="1" t="s">
        <v>78</v>
      </c>
      <c r="D51" s="1" t="s">
        <v>4</v>
      </c>
      <c r="E51" t="s">
        <v>5</v>
      </c>
      <c r="F51" t="s">
        <v>6</v>
      </c>
      <c r="G51" s="2">
        <v>45875</v>
      </c>
      <c r="H51">
        <v>45.25</v>
      </c>
      <c r="I51" s="1"/>
    </row>
    <row r="52" spans="1:9" x14ac:dyDescent="0.25">
      <c r="A52" t="s">
        <v>311</v>
      </c>
      <c r="B52" t="s">
        <v>271</v>
      </c>
      <c r="C52" s="1" t="s">
        <v>62</v>
      </c>
      <c r="D52" s="1" t="s">
        <v>4</v>
      </c>
      <c r="E52" t="s">
        <v>5</v>
      </c>
      <c r="F52" t="s">
        <v>6</v>
      </c>
      <c r="G52" s="2">
        <v>45813</v>
      </c>
      <c r="H52">
        <v>43.5</v>
      </c>
      <c r="I52" s="1"/>
    </row>
    <row r="53" spans="1:9" x14ac:dyDescent="0.25">
      <c r="A53" t="s">
        <v>311</v>
      </c>
      <c r="B53" t="s">
        <v>271</v>
      </c>
      <c r="C53" s="1" t="s">
        <v>63</v>
      </c>
      <c r="D53" s="1" t="s">
        <v>4</v>
      </c>
      <c r="E53" t="s">
        <v>5</v>
      </c>
      <c r="F53" t="s">
        <v>6</v>
      </c>
      <c r="G53" s="2">
        <v>45813</v>
      </c>
      <c r="H53">
        <v>43.5</v>
      </c>
      <c r="I53" s="1"/>
    </row>
    <row r="54" spans="1:9" x14ac:dyDescent="0.25">
      <c r="A54" t="s">
        <v>311</v>
      </c>
      <c r="B54" t="s">
        <v>271</v>
      </c>
      <c r="C54" s="1" t="s">
        <v>64</v>
      </c>
      <c r="D54" s="1" t="s">
        <v>4</v>
      </c>
      <c r="E54" t="s">
        <v>5</v>
      </c>
      <c r="F54" t="s">
        <v>6</v>
      </c>
      <c r="G54" s="2">
        <v>45813</v>
      </c>
      <c r="H54">
        <v>42.5</v>
      </c>
      <c r="I54" s="1"/>
    </row>
    <row r="55" spans="1:9" x14ac:dyDescent="0.25">
      <c r="A55" t="s">
        <v>311</v>
      </c>
      <c r="B55" t="s">
        <v>271</v>
      </c>
      <c r="C55" s="1" t="s">
        <v>65</v>
      </c>
      <c r="D55" s="1" t="s">
        <v>4</v>
      </c>
      <c r="E55" t="s">
        <v>5</v>
      </c>
      <c r="F55" t="s">
        <v>6</v>
      </c>
      <c r="G55" s="2">
        <v>45813</v>
      </c>
      <c r="H55">
        <v>42.5</v>
      </c>
      <c r="I55" s="1"/>
    </row>
    <row r="56" spans="1:9" x14ac:dyDescent="0.25">
      <c r="A56" t="s">
        <v>311</v>
      </c>
      <c r="B56" t="s">
        <v>272</v>
      </c>
      <c r="C56" s="1" t="s">
        <v>129</v>
      </c>
      <c r="D56" s="1" t="s">
        <v>67</v>
      </c>
      <c r="E56" t="s">
        <v>36</v>
      </c>
      <c r="F56" t="s">
        <v>124</v>
      </c>
      <c r="G56" s="2">
        <v>45700</v>
      </c>
      <c r="H56">
        <v>72</v>
      </c>
      <c r="I56" s="1"/>
    </row>
    <row r="57" spans="1:9" x14ac:dyDescent="0.25">
      <c r="A57" t="s">
        <v>311</v>
      </c>
      <c r="B57" t="s">
        <v>272</v>
      </c>
      <c r="C57" s="1" t="s">
        <v>130</v>
      </c>
      <c r="D57" s="1" t="s">
        <v>131</v>
      </c>
      <c r="E57" t="s">
        <v>36</v>
      </c>
      <c r="F57" t="s">
        <v>132</v>
      </c>
      <c r="G57" s="2">
        <v>45700</v>
      </c>
      <c r="H57">
        <v>79</v>
      </c>
      <c r="I57" s="1"/>
    </row>
    <row r="58" spans="1:9" x14ac:dyDescent="0.25">
      <c r="A58" t="s">
        <v>311</v>
      </c>
      <c r="B58" t="s">
        <v>273</v>
      </c>
      <c r="C58" s="1" t="s">
        <v>51</v>
      </c>
      <c r="D58" s="1" t="s">
        <v>44</v>
      </c>
      <c r="E58" t="s">
        <v>45</v>
      </c>
      <c r="F58" t="s">
        <v>46</v>
      </c>
      <c r="G58" s="2">
        <v>45813</v>
      </c>
      <c r="H58">
        <v>55</v>
      </c>
      <c r="I58" s="1"/>
    </row>
    <row r="59" spans="1:9" x14ac:dyDescent="0.25">
      <c r="A59" t="s">
        <v>311</v>
      </c>
      <c r="B59" t="s">
        <v>273</v>
      </c>
      <c r="C59" s="1" t="s">
        <v>53</v>
      </c>
      <c r="D59" s="1" t="s">
        <v>44</v>
      </c>
      <c r="E59" t="s">
        <v>45</v>
      </c>
      <c r="F59" t="s">
        <v>46</v>
      </c>
      <c r="G59" s="2">
        <v>45813</v>
      </c>
      <c r="H59">
        <v>45</v>
      </c>
      <c r="I59" s="1"/>
    </row>
    <row r="60" spans="1:9" x14ac:dyDescent="0.25">
      <c r="A60" t="s">
        <v>311</v>
      </c>
      <c r="B60" t="s">
        <v>273</v>
      </c>
      <c r="C60" s="1" t="s">
        <v>54</v>
      </c>
      <c r="D60" s="1" t="s">
        <v>44</v>
      </c>
      <c r="E60" t="s">
        <v>45</v>
      </c>
      <c r="F60" t="s">
        <v>46</v>
      </c>
      <c r="G60" s="2">
        <v>45813</v>
      </c>
      <c r="H60">
        <v>43</v>
      </c>
      <c r="I60" s="1"/>
    </row>
    <row r="61" spans="1:9" x14ac:dyDescent="0.25">
      <c r="A61" t="s">
        <v>311</v>
      </c>
      <c r="B61" t="s">
        <v>273</v>
      </c>
      <c r="C61" s="1" t="s">
        <v>52</v>
      </c>
      <c r="D61" s="1" t="s">
        <v>44</v>
      </c>
      <c r="E61" t="s">
        <v>45</v>
      </c>
      <c r="F61" t="s">
        <v>46</v>
      </c>
      <c r="G61" s="2">
        <v>45813</v>
      </c>
      <c r="H61">
        <v>46</v>
      </c>
      <c r="I61" s="1"/>
    </row>
    <row r="62" spans="1:9" x14ac:dyDescent="0.25">
      <c r="A62" t="s">
        <v>313</v>
      </c>
      <c r="B62" t="s">
        <v>274</v>
      </c>
      <c r="C62" s="1" t="s">
        <v>137</v>
      </c>
      <c r="D62" s="1" t="s">
        <v>4</v>
      </c>
      <c r="E62" t="s">
        <v>74</v>
      </c>
      <c r="F62" t="s">
        <v>75</v>
      </c>
      <c r="G62" s="2">
        <v>45681</v>
      </c>
      <c r="H62">
        <v>44.5</v>
      </c>
      <c r="I62" s="1"/>
    </row>
    <row r="63" spans="1:9" x14ac:dyDescent="0.25">
      <c r="A63" t="s">
        <v>313</v>
      </c>
      <c r="B63" t="s">
        <v>274</v>
      </c>
      <c r="C63" s="1" t="s">
        <v>137</v>
      </c>
      <c r="D63" s="1" t="s">
        <v>4</v>
      </c>
      <c r="E63" t="s">
        <v>74</v>
      </c>
      <c r="F63" t="s">
        <v>75</v>
      </c>
      <c r="G63" s="2">
        <v>45681</v>
      </c>
      <c r="H63">
        <v>39.6</v>
      </c>
      <c r="I63" s="1"/>
    </row>
    <row r="64" spans="1:9" x14ac:dyDescent="0.25">
      <c r="A64" t="s">
        <v>313</v>
      </c>
      <c r="B64" t="s">
        <v>274</v>
      </c>
      <c r="C64" s="1" t="s">
        <v>136</v>
      </c>
      <c r="D64" s="1" t="s">
        <v>4</v>
      </c>
      <c r="E64" t="s">
        <v>74</v>
      </c>
      <c r="F64" t="s">
        <v>75</v>
      </c>
      <c r="G64" s="2">
        <v>45681</v>
      </c>
      <c r="H64">
        <v>41.8</v>
      </c>
      <c r="I64" s="1"/>
    </row>
    <row r="65" spans="1:9" x14ac:dyDescent="0.25">
      <c r="A65" t="s">
        <v>313</v>
      </c>
      <c r="B65" t="s">
        <v>274</v>
      </c>
      <c r="C65" s="1" t="s">
        <v>136</v>
      </c>
      <c r="D65" s="1" t="s">
        <v>4</v>
      </c>
      <c r="E65" t="s">
        <v>74</v>
      </c>
      <c r="F65" t="s">
        <v>75</v>
      </c>
      <c r="G65" s="2">
        <v>45681</v>
      </c>
      <c r="H65">
        <v>36.4</v>
      </c>
      <c r="I65" s="1"/>
    </row>
    <row r="66" spans="1:9" x14ac:dyDescent="0.25">
      <c r="A66" t="s">
        <v>313</v>
      </c>
      <c r="B66" t="s">
        <v>274</v>
      </c>
      <c r="C66" s="1" t="s">
        <v>138</v>
      </c>
      <c r="D66" s="1" t="s">
        <v>4</v>
      </c>
      <c r="E66" t="s">
        <v>5</v>
      </c>
      <c r="F66" t="s">
        <v>6</v>
      </c>
      <c r="G66" s="2">
        <v>45681</v>
      </c>
      <c r="H66">
        <v>46</v>
      </c>
      <c r="I66" s="1"/>
    </row>
    <row r="67" spans="1:9" x14ac:dyDescent="0.25">
      <c r="A67" t="s">
        <v>311</v>
      </c>
      <c r="B67" t="s">
        <v>273</v>
      </c>
      <c r="C67" s="1" t="s">
        <v>55</v>
      </c>
      <c r="D67" s="1" t="s">
        <v>44</v>
      </c>
      <c r="E67" t="s">
        <v>45</v>
      </c>
      <c r="F67" t="s">
        <v>46</v>
      </c>
      <c r="G67" s="2">
        <v>45813</v>
      </c>
      <c r="H67">
        <v>40</v>
      </c>
      <c r="I67" s="1"/>
    </row>
    <row r="68" spans="1:9" x14ac:dyDescent="0.25">
      <c r="A68" t="s">
        <v>311</v>
      </c>
      <c r="B68" t="s">
        <v>273</v>
      </c>
      <c r="C68" s="1" t="s">
        <v>43</v>
      </c>
      <c r="D68" s="1" t="s">
        <v>44</v>
      </c>
      <c r="E68" t="s">
        <v>45</v>
      </c>
      <c r="F68" t="s">
        <v>46</v>
      </c>
      <c r="G68" s="2">
        <v>45813</v>
      </c>
      <c r="H68">
        <v>59</v>
      </c>
      <c r="I68" s="1"/>
    </row>
    <row r="69" spans="1:9" x14ac:dyDescent="0.25">
      <c r="A69" t="s">
        <v>311</v>
      </c>
      <c r="B69" t="s">
        <v>263</v>
      </c>
      <c r="C69" s="1" t="s">
        <v>41</v>
      </c>
      <c r="D69" s="1" t="s">
        <v>39</v>
      </c>
      <c r="E69" t="s">
        <v>36</v>
      </c>
      <c r="F69" t="s">
        <v>40</v>
      </c>
      <c r="G69" s="2">
        <v>45806</v>
      </c>
      <c r="H69">
        <v>61.5</v>
      </c>
      <c r="I69" s="1"/>
    </row>
    <row r="70" spans="1:9" x14ac:dyDescent="0.25">
      <c r="A70" t="s">
        <v>311</v>
      </c>
      <c r="B70" t="s">
        <v>263</v>
      </c>
      <c r="C70" s="1" t="s">
        <v>42</v>
      </c>
      <c r="D70" s="1" t="s">
        <v>39</v>
      </c>
      <c r="E70" t="s">
        <v>36</v>
      </c>
      <c r="F70" t="s">
        <v>40</v>
      </c>
      <c r="G70" s="2">
        <v>45806</v>
      </c>
      <c r="H70">
        <v>62.5</v>
      </c>
      <c r="I70" s="1"/>
    </row>
    <row r="71" spans="1:9" x14ac:dyDescent="0.25">
      <c r="A71" t="s">
        <v>311</v>
      </c>
      <c r="B71" t="s">
        <v>263</v>
      </c>
      <c r="C71" s="1" t="s">
        <v>38</v>
      </c>
      <c r="D71" s="1" t="s">
        <v>39</v>
      </c>
      <c r="E71" t="s">
        <v>36</v>
      </c>
      <c r="F71" t="s">
        <v>40</v>
      </c>
      <c r="G71" s="2">
        <v>45806</v>
      </c>
      <c r="H71">
        <v>59.75</v>
      </c>
      <c r="I71" s="1"/>
    </row>
    <row r="72" spans="1:9" x14ac:dyDescent="0.25">
      <c r="A72" t="s">
        <v>312</v>
      </c>
      <c r="B72" t="s">
        <v>275</v>
      </c>
      <c r="C72" s="1" t="s">
        <v>47</v>
      </c>
      <c r="D72" s="1" t="s">
        <v>48</v>
      </c>
      <c r="E72" t="s">
        <v>36</v>
      </c>
      <c r="F72" t="s">
        <v>49</v>
      </c>
      <c r="G72" s="2">
        <v>45806</v>
      </c>
      <c r="H72">
        <v>72.25</v>
      </c>
      <c r="I72" s="1"/>
    </row>
    <row r="73" spans="1:9" x14ac:dyDescent="0.25">
      <c r="A73" t="s">
        <v>312</v>
      </c>
      <c r="B73" t="s">
        <v>275</v>
      </c>
      <c r="C73" s="1" t="s">
        <v>50</v>
      </c>
      <c r="D73" s="1" t="s">
        <v>48</v>
      </c>
      <c r="E73" t="s">
        <v>36</v>
      </c>
      <c r="F73" t="s">
        <v>49</v>
      </c>
      <c r="G73" s="2">
        <v>45806</v>
      </c>
      <c r="H73">
        <v>71</v>
      </c>
      <c r="I73" s="1"/>
    </row>
    <row r="74" spans="1:9" x14ac:dyDescent="0.25">
      <c r="A74" t="s">
        <v>312</v>
      </c>
      <c r="B74" t="s">
        <v>275</v>
      </c>
      <c r="C74" s="1" t="s">
        <v>66</v>
      </c>
      <c r="D74" s="1" t="s">
        <v>67</v>
      </c>
      <c r="E74" t="s">
        <v>61</v>
      </c>
      <c r="F74" t="s">
        <v>166</v>
      </c>
      <c r="G74" s="2">
        <v>45806</v>
      </c>
      <c r="H74">
        <v>85.25</v>
      </c>
      <c r="I74" s="1"/>
    </row>
    <row r="75" spans="1:9" x14ac:dyDescent="0.25">
      <c r="A75" t="s">
        <v>311</v>
      </c>
      <c r="B75" t="s">
        <v>276</v>
      </c>
      <c r="C75" s="1" t="s">
        <v>68</v>
      </c>
      <c r="D75" s="1" t="s">
        <v>69</v>
      </c>
      <c r="E75" t="s">
        <v>61</v>
      </c>
      <c r="F75" t="s">
        <v>70</v>
      </c>
      <c r="G75" s="2">
        <v>45792</v>
      </c>
      <c r="H75">
        <v>81</v>
      </c>
      <c r="I75" s="1"/>
    </row>
    <row r="76" spans="1:9" x14ac:dyDescent="0.25">
      <c r="A76" t="s">
        <v>313</v>
      </c>
      <c r="B76" t="s">
        <v>277</v>
      </c>
      <c r="C76" s="1" t="s">
        <v>76</v>
      </c>
      <c r="D76" s="1" t="s">
        <v>77</v>
      </c>
      <c r="E76" t="s">
        <v>74</v>
      </c>
      <c r="F76" t="s">
        <v>75</v>
      </c>
      <c r="G76" s="2">
        <v>45875</v>
      </c>
      <c r="H76">
        <v>47.75</v>
      </c>
      <c r="I76" s="1"/>
    </row>
    <row r="77" spans="1:9" x14ac:dyDescent="0.25">
      <c r="A77" t="s">
        <v>311</v>
      </c>
      <c r="B77" t="s">
        <v>260</v>
      </c>
      <c r="C77" s="1" t="s">
        <v>126</v>
      </c>
      <c r="D77" s="1" t="s">
        <v>4</v>
      </c>
      <c r="E77" t="s">
        <v>5</v>
      </c>
      <c r="F77" t="s">
        <v>11</v>
      </c>
      <c r="G77" s="2">
        <v>45743</v>
      </c>
      <c r="H77">
        <v>45</v>
      </c>
      <c r="I77" s="1"/>
    </row>
    <row r="78" spans="1:9" x14ac:dyDescent="0.25">
      <c r="A78" t="s">
        <v>311</v>
      </c>
      <c r="B78" t="s">
        <v>260</v>
      </c>
      <c r="C78" s="1" t="s">
        <v>127</v>
      </c>
      <c r="D78" s="1" t="s">
        <v>4</v>
      </c>
      <c r="E78" t="s">
        <v>5</v>
      </c>
      <c r="F78" t="s">
        <v>11</v>
      </c>
      <c r="G78" s="2">
        <v>45743</v>
      </c>
      <c r="H78">
        <v>40</v>
      </c>
      <c r="I78" s="1"/>
    </row>
    <row r="79" spans="1:9" x14ac:dyDescent="0.25">
      <c r="A79" t="s">
        <v>311</v>
      </c>
      <c r="B79" t="s">
        <v>278</v>
      </c>
      <c r="C79" s="1" t="s">
        <v>128</v>
      </c>
      <c r="D79" s="1" t="s">
        <v>4</v>
      </c>
      <c r="E79" t="s">
        <v>5</v>
      </c>
      <c r="F79" t="s">
        <v>13</v>
      </c>
      <c r="G79" s="2">
        <v>45708</v>
      </c>
      <c r="H79">
        <v>45.5</v>
      </c>
      <c r="I79" s="1"/>
    </row>
    <row r="80" spans="1:9" x14ac:dyDescent="0.25">
      <c r="A80" t="s">
        <v>311</v>
      </c>
      <c r="B80" t="s">
        <v>279</v>
      </c>
      <c r="C80" s="1" t="s">
        <v>17</v>
      </c>
      <c r="D80" s="1" t="s">
        <v>18</v>
      </c>
      <c r="E80" t="s">
        <v>19</v>
      </c>
      <c r="F80" t="s">
        <v>20</v>
      </c>
      <c r="G80" s="2">
        <v>45708</v>
      </c>
      <c r="H80">
        <v>65</v>
      </c>
      <c r="I80" s="1"/>
    </row>
    <row r="81" spans="1:9" x14ac:dyDescent="0.25">
      <c r="A81" t="s">
        <v>311</v>
      </c>
      <c r="B81" t="s">
        <v>280</v>
      </c>
      <c r="C81" s="1" t="s">
        <v>134</v>
      </c>
      <c r="D81" s="1" t="s">
        <v>4</v>
      </c>
      <c r="E81" t="s">
        <v>5</v>
      </c>
      <c r="F81" t="s">
        <v>9</v>
      </c>
      <c r="G81" s="2">
        <v>45687</v>
      </c>
      <c r="H81">
        <v>32</v>
      </c>
      <c r="I81" s="1"/>
    </row>
    <row r="82" spans="1:9" x14ac:dyDescent="0.25">
      <c r="A82" t="s">
        <v>311</v>
      </c>
      <c r="B82" t="s">
        <v>280</v>
      </c>
      <c r="C82" s="1" t="s">
        <v>135</v>
      </c>
      <c r="D82" s="1" t="s">
        <v>4</v>
      </c>
      <c r="E82" t="s">
        <v>5</v>
      </c>
      <c r="F82" t="s">
        <v>11</v>
      </c>
      <c r="G82" s="2">
        <v>45687</v>
      </c>
      <c r="H82">
        <v>46</v>
      </c>
      <c r="I82" s="1"/>
    </row>
    <row r="83" spans="1:9" x14ac:dyDescent="0.25">
      <c r="A83" t="s">
        <v>313</v>
      </c>
      <c r="B83" t="s">
        <v>281</v>
      </c>
      <c r="C83" s="1" t="s">
        <v>72</v>
      </c>
      <c r="D83" s="1" t="s">
        <v>73</v>
      </c>
      <c r="E83" t="s">
        <v>74</v>
      </c>
      <c r="F83" t="s">
        <v>75</v>
      </c>
      <c r="G83" s="2">
        <v>45862</v>
      </c>
      <c r="H83">
        <v>55</v>
      </c>
      <c r="I83" s="1"/>
    </row>
    <row r="84" spans="1:9" x14ac:dyDescent="0.25">
      <c r="A84" t="s">
        <v>313</v>
      </c>
      <c r="B84" t="s">
        <v>281</v>
      </c>
      <c r="C84" s="1" t="s">
        <v>71</v>
      </c>
      <c r="D84" s="1" t="s">
        <v>4</v>
      </c>
      <c r="E84" t="s">
        <v>5</v>
      </c>
      <c r="F84" t="s">
        <v>11</v>
      </c>
      <c r="G84" s="2">
        <v>45862</v>
      </c>
      <c r="H84">
        <v>55</v>
      </c>
      <c r="I84" s="1"/>
    </row>
    <row r="85" spans="1:9" x14ac:dyDescent="0.25">
      <c r="A85" t="s">
        <v>311</v>
      </c>
      <c r="B85" t="s">
        <v>282</v>
      </c>
      <c r="C85" s="1" t="s">
        <v>155</v>
      </c>
      <c r="D85" s="1" t="s">
        <v>131</v>
      </c>
      <c r="E85" t="s">
        <v>36</v>
      </c>
      <c r="F85" t="s">
        <v>132</v>
      </c>
      <c r="G85" s="2">
        <v>45516</v>
      </c>
      <c r="H85">
        <v>89.71</v>
      </c>
      <c r="I85" s="1"/>
    </row>
    <row r="86" spans="1:9" x14ac:dyDescent="0.25">
      <c r="A86" t="s">
        <v>311</v>
      </c>
      <c r="B86" t="s">
        <v>277</v>
      </c>
      <c r="C86" s="1" t="s">
        <v>81</v>
      </c>
      <c r="D86" s="1" t="s">
        <v>82</v>
      </c>
      <c r="E86" t="s">
        <v>74</v>
      </c>
      <c r="F86" t="s">
        <v>75</v>
      </c>
      <c r="G86" s="2">
        <v>45875</v>
      </c>
      <c r="H86">
        <v>64.75</v>
      </c>
      <c r="I86" s="1"/>
    </row>
    <row r="87" spans="1:9" x14ac:dyDescent="0.25">
      <c r="A87" t="s">
        <v>313</v>
      </c>
      <c r="B87" t="s">
        <v>277</v>
      </c>
      <c r="C87" s="1" t="s">
        <v>59</v>
      </c>
      <c r="D87" s="1" t="s">
        <v>60</v>
      </c>
      <c r="E87" t="s">
        <v>61</v>
      </c>
      <c r="F87" t="s">
        <v>70</v>
      </c>
      <c r="G87" s="2">
        <v>45875</v>
      </c>
      <c r="H87">
        <v>86.5</v>
      </c>
      <c r="I87" s="1"/>
    </row>
    <row r="88" spans="1:9" x14ac:dyDescent="0.25">
      <c r="A88" t="s">
        <v>311</v>
      </c>
      <c r="B88" t="s">
        <v>277</v>
      </c>
      <c r="C88" s="1" t="s">
        <v>56</v>
      </c>
      <c r="D88" s="1" t="s">
        <v>57</v>
      </c>
      <c r="E88" t="s">
        <v>36</v>
      </c>
      <c r="F88" t="s">
        <v>40</v>
      </c>
      <c r="G88" s="2">
        <v>45875</v>
      </c>
      <c r="H88">
        <v>68.2</v>
      </c>
      <c r="I88" s="1"/>
    </row>
    <row r="89" spans="1:9" x14ac:dyDescent="0.25">
      <c r="A89" t="s">
        <v>313</v>
      </c>
      <c r="B89" t="s">
        <v>277</v>
      </c>
      <c r="C89" s="1" t="s">
        <v>58</v>
      </c>
      <c r="D89" s="1" t="s">
        <v>4</v>
      </c>
      <c r="E89" t="s">
        <v>5</v>
      </c>
      <c r="F89" t="s">
        <v>6</v>
      </c>
      <c r="G89" s="2">
        <v>45749</v>
      </c>
      <c r="H89">
        <v>46</v>
      </c>
      <c r="I89" s="1"/>
    </row>
    <row r="90" spans="1:9" x14ac:dyDescent="0.25">
      <c r="A90" t="s">
        <v>311</v>
      </c>
      <c r="B90" t="s">
        <v>277</v>
      </c>
      <c r="C90" s="1" t="s">
        <v>140</v>
      </c>
      <c r="D90" s="1" t="s">
        <v>73</v>
      </c>
      <c r="E90" t="s">
        <v>74</v>
      </c>
      <c r="F90" t="s">
        <v>75</v>
      </c>
      <c r="G90" s="2">
        <v>45680</v>
      </c>
      <c r="H90">
        <v>63</v>
      </c>
      <c r="I90" s="1"/>
    </row>
    <row r="91" spans="1:9" x14ac:dyDescent="0.25">
      <c r="A91" t="s">
        <v>312</v>
      </c>
      <c r="B91" t="s">
        <v>283</v>
      </c>
      <c r="C91" s="1" t="s">
        <v>139</v>
      </c>
      <c r="D91" s="1" t="s">
        <v>4</v>
      </c>
      <c r="E91" t="s">
        <v>5</v>
      </c>
      <c r="F91" t="s">
        <v>13</v>
      </c>
      <c r="G91" s="2">
        <v>45680</v>
      </c>
      <c r="H91">
        <v>46.5</v>
      </c>
      <c r="I91" s="1"/>
    </row>
    <row r="92" spans="1:9" x14ac:dyDescent="0.25">
      <c r="A92" t="s">
        <v>311</v>
      </c>
      <c r="B92" t="s">
        <v>284</v>
      </c>
      <c r="C92" s="1" t="s">
        <v>15</v>
      </c>
      <c r="D92" s="1" t="s">
        <v>4</v>
      </c>
      <c r="E92" t="s">
        <v>5</v>
      </c>
      <c r="F92" t="s">
        <v>9</v>
      </c>
      <c r="G92" s="2">
        <v>45709</v>
      </c>
      <c r="H92">
        <v>48</v>
      </c>
      <c r="I92" s="1"/>
    </row>
    <row r="93" spans="1:9" x14ac:dyDescent="0.25">
      <c r="A93" t="s">
        <v>311</v>
      </c>
      <c r="B93" t="s">
        <v>284</v>
      </c>
      <c r="C93" s="1" t="s">
        <v>15</v>
      </c>
      <c r="D93" s="1" t="s">
        <v>4</v>
      </c>
      <c r="E93" t="s">
        <v>5</v>
      </c>
      <c r="F93" t="s">
        <v>9</v>
      </c>
      <c r="G93" s="2">
        <v>45689</v>
      </c>
      <c r="H93">
        <v>50</v>
      </c>
      <c r="I93" s="1"/>
    </row>
    <row r="94" spans="1:9" x14ac:dyDescent="0.25">
      <c r="A94" t="s">
        <v>311</v>
      </c>
      <c r="B94" t="s">
        <v>284</v>
      </c>
      <c r="C94" s="1" t="s">
        <v>15</v>
      </c>
      <c r="D94" s="1" t="s">
        <v>4</v>
      </c>
      <c r="E94" t="s">
        <v>5</v>
      </c>
      <c r="F94" t="s">
        <v>9</v>
      </c>
      <c r="G94" s="2">
        <v>45689</v>
      </c>
      <c r="H94">
        <v>50</v>
      </c>
      <c r="I94" s="1"/>
    </row>
    <row r="95" spans="1:9" x14ac:dyDescent="0.25">
      <c r="A95" t="s">
        <v>311</v>
      </c>
      <c r="B95" t="s">
        <v>283</v>
      </c>
      <c r="C95" s="1" t="s">
        <v>14</v>
      </c>
      <c r="D95" s="1" t="s">
        <v>4</v>
      </c>
      <c r="E95" t="s">
        <v>5</v>
      </c>
      <c r="F95" t="s">
        <v>11</v>
      </c>
      <c r="G95" s="2">
        <v>45628</v>
      </c>
      <c r="H95">
        <v>46.5</v>
      </c>
      <c r="I95" s="1"/>
    </row>
    <row r="96" spans="1:9" x14ac:dyDescent="0.25">
      <c r="A96" t="s">
        <v>311</v>
      </c>
      <c r="B96" t="s">
        <v>285</v>
      </c>
      <c r="C96" s="1" t="s">
        <v>12</v>
      </c>
      <c r="D96" s="1" t="s">
        <v>4</v>
      </c>
      <c r="E96" t="s">
        <v>5</v>
      </c>
      <c r="F96" t="s">
        <v>13</v>
      </c>
      <c r="G96" s="2">
        <v>45664</v>
      </c>
      <c r="H96">
        <v>47</v>
      </c>
      <c r="I96" s="1"/>
    </row>
    <row r="97" spans="1:9" x14ac:dyDescent="0.25">
      <c r="A97" t="s">
        <v>311</v>
      </c>
      <c r="B97" t="s">
        <v>285</v>
      </c>
      <c r="C97" s="1" t="s">
        <v>145</v>
      </c>
      <c r="D97" s="1" t="s">
        <v>4</v>
      </c>
      <c r="E97" t="s">
        <v>5</v>
      </c>
      <c r="F97" t="s">
        <v>13</v>
      </c>
      <c r="G97" s="2">
        <v>45587</v>
      </c>
      <c r="H97">
        <v>49.65</v>
      </c>
      <c r="I97" s="1"/>
    </row>
    <row r="98" spans="1:9" x14ac:dyDescent="0.25">
      <c r="A98" t="s">
        <v>313</v>
      </c>
      <c r="B98" t="s">
        <v>286</v>
      </c>
      <c r="C98" s="1" t="s">
        <v>192</v>
      </c>
      <c r="D98" s="1" t="s">
        <v>193</v>
      </c>
      <c r="E98" t="s">
        <v>194</v>
      </c>
      <c r="F98" t="s">
        <v>195</v>
      </c>
      <c r="G98" s="2">
        <v>45504</v>
      </c>
      <c r="H98">
        <v>87</v>
      </c>
      <c r="I98" s="1"/>
    </row>
    <row r="99" spans="1:9" x14ac:dyDescent="0.25">
      <c r="A99" t="s">
        <v>313</v>
      </c>
      <c r="B99" t="s">
        <v>286</v>
      </c>
      <c r="C99" s="1" t="s">
        <v>191</v>
      </c>
      <c r="D99" s="1" t="s">
        <v>90</v>
      </c>
      <c r="E99" t="s">
        <v>36</v>
      </c>
      <c r="F99" t="s">
        <v>49</v>
      </c>
      <c r="G99" s="2">
        <v>45504</v>
      </c>
      <c r="H99">
        <v>62</v>
      </c>
      <c r="I99" s="1"/>
    </row>
    <row r="100" spans="1:9" x14ac:dyDescent="0.25">
      <c r="A100" t="s">
        <v>313</v>
      </c>
      <c r="B100" t="s">
        <v>286</v>
      </c>
      <c r="C100" s="1" t="s">
        <v>190</v>
      </c>
      <c r="D100" s="1" t="s">
        <v>131</v>
      </c>
      <c r="E100" t="s">
        <v>36</v>
      </c>
      <c r="F100" t="s">
        <v>132</v>
      </c>
      <c r="G100" s="2">
        <v>45504</v>
      </c>
      <c r="H100">
        <v>56</v>
      </c>
      <c r="I100" s="1"/>
    </row>
    <row r="101" spans="1:9" x14ac:dyDescent="0.25">
      <c r="A101" t="s">
        <v>311</v>
      </c>
      <c r="B101" t="s">
        <v>286</v>
      </c>
      <c r="C101" s="1" t="s">
        <v>196</v>
      </c>
      <c r="D101" s="1" t="s">
        <v>4</v>
      </c>
      <c r="E101" t="s">
        <v>5</v>
      </c>
      <c r="F101" t="s">
        <v>11</v>
      </c>
      <c r="G101" s="2">
        <v>45504</v>
      </c>
      <c r="H101">
        <v>54</v>
      </c>
      <c r="I101" s="1"/>
    </row>
    <row r="102" spans="1:9" x14ac:dyDescent="0.25">
      <c r="A102" t="s">
        <v>313</v>
      </c>
      <c r="B102" t="s">
        <v>287</v>
      </c>
      <c r="C102" s="1" t="s">
        <v>148</v>
      </c>
      <c r="D102" s="1" t="s">
        <v>18</v>
      </c>
      <c r="E102" t="s">
        <v>19</v>
      </c>
      <c r="F102" t="s">
        <v>20</v>
      </c>
      <c r="G102" s="2">
        <v>45573</v>
      </c>
      <c r="H102">
        <v>75.5</v>
      </c>
      <c r="I102" s="1"/>
    </row>
    <row r="103" spans="1:9" x14ac:dyDescent="0.25">
      <c r="A103" t="s">
        <v>313</v>
      </c>
      <c r="B103" t="s">
        <v>287</v>
      </c>
      <c r="C103" s="1" t="s">
        <v>146</v>
      </c>
      <c r="D103" s="1" t="s">
        <v>18</v>
      </c>
      <c r="E103" t="s">
        <v>19</v>
      </c>
      <c r="F103" t="s">
        <v>147</v>
      </c>
      <c r="G103" s="2">
        <v>45573</v>
      </c>
      <c r="H103">
        <v>81</v>
      </c>
      <c r="I103" s="1"/>
    </row>
    <row r="104" spans="1:9" x14ac:dyDescent="0.25">
      <c r="A104" t="s">
        <v>311</v>
      </c>
      <c r="B104" t="s">
        <v>288</v>
      </c>
      <c r="C104" s="1" t="s">
        <v>149</v>
      </c>
      <c r="D104" s="1"/>
      <c r="E104" t="s">
        <v>45</v>
      </c>
      <c r="F104" t="s">
        <v>46</v>
      </c>
      <c r="G104" s="2">
        <v>45555</v>
      </c>
      <c r="H104">
        <v>47.5</v>
      </c>
      <c r="I104" s="1"/>
    </row>
    <row r="105" spans="1:9" x14ac:dyDescent="0.25">
      <c r="A105" t="s">
        <v>311</v>
      </c>
      <c r="B105" t="s">
        <v>286</v>
      </c>
      <c r="C105" s="1" t="s">
        <v>189</v>
      </c>
      <c r="D105" s="1" t="s">
        <v>102</v>
      </c>
      <c r="E105" t="s">
        <v>61</v>
      </c>
      <c r="F105" t="s">
        <v>166</v>
      </c>
      <c r="G105" s="2">
        <v>45504</v>
      </c>
      <c r="H105">
        <v>71</v>
      </c>
      <c r="I105" s="1"/>
    </row>
    <row r="106" spans="1:9" x14ac:dyDescent="0.25">
      <c r="A106" t="s">
        <v>311</v>
      </c>
      <c r="B106" t="s">
        <v>286</v>
      </c>
      <c r="C106" s="1" t="s">
        <v>188</v>
      </c>
      <c r="D106" s="1" t="s">
        <v>67</v>
      </c>
      <c r="E106" t="s">
        <v>36</v>
      </c>
      <c r="F106" t="s">
        <v>49</v>
      </c>
      <c r="G106" s="2">
        <v>45504</v>
      </c>
      <c r="H106">
        <v>79</v>
      </c>
      <c r="I106" s="1"/>
    </row>
    <row r="107" spans="1:9" x14ac:dyDescent="0.25">
      <c r="A107" t="s">
        <v>311</v>
      </c>
      <c r="B107" t="s">
        <v>286</v>
      </c>
      <c r="C107" s="1" t="s">
        <v>187</v>
      </c>
      <c r="D107" s="1" t="s">
        <v>102</v>
      </c>
      <c r="E107" t="s">
        <v>61</v>
      </c>
      <c r="F107" t="s">
        <v>166</v>
      </c>
      <c r="G107" s="2">
        <v>45504</v>
      </c>
      <c r="H107">
        <v>79</v>
      </c>
      <c r="I107" s="1"/>
    </row>
    <row r="108" spans="1:9" x14ac:dyDescent="0.25">
      <c r="A108" t="s">
        <v>311</v>
      </c>
      <c r="B108" t="s">
        <v>288</v>
      </c>
      <c r="C108" s="1" t="s">
        <v>151</v>
      </c>
      <c r="D108" s="1"/>
      <c r="E108" t="s">
        <v>45</v>
      </c>
      <c r="F108" t="s">
        <v>46</v>
      </c>
      <c r="G108" s="2">
        <v>45555</v>
      </c>
      <c r="H108">
        <v>47.5</v>
      </c>
      <c r="I108" s="1"/>
    </row>
    <row r="109" spans="1:9" x14ac:dyDescent="0.25">
      <c r="A109" t="s">
        <v>311</v>
      </c>
      <c r="B109" t="s">
        <v>272</v>
      </c>
      <c r="C109" s="1" t="s">
        <v>182</v>
      </c>
      <c r="D109" s="1" t="s">
        <v>82</v>
      </c>
      <c r="E109" t="s">
        <v>36</v>
      </c>
      <c r="F109" t="s">
        <v>49</v>
      </c>
      <c r="G109" s="2">
        <v>45504</v>
      </c>
      <c r="H109">
        <v>55</v>
      </c>
      <c r="I109" s="1"/>
    </row>
    <row r="110" spans="1:9" x14ac:dyDescent="0.25">
      <c r="A110" t="s">
        <v>311</v>
      </c>
      <c r="B110" t="s">
        <v>272</v>
      </c>
      <c r="C110" s="1" t="s">
        <v>181</v>
      </c>
      <c r="D110" s="1" t="s">
        <v>82</v>
      </c>
      <c r="E110" t="s">
        <v>36</v>
      </c>
      <c r="F110" t="s">
        <v>49</v>
      </c>
      <c r="G110" s="2">
        <v>45504</v>
      </c>
      <c r="H110">
        <v>56</v>
      </c>
      <c r="I110" s="1"/>
    </row>
    <row r="111" spans="1:9" x14ac:dyDescent="0.25">
      <c r="A111" t="s">
        <v>311</v>
      </c>
      <c r="B111" t="s">
        <v>272</v>
      </c>
      <c r="C111" s="1" t="s">
        <v>183</v>
      </c>
      <c r="D111" s="1" t="s">
        <v>90</v>
      </c>
      <c r="E111" t="s">
        <v>36</v>
      </c>
      <c r="F111" t="s">
        <v>49</v>
      </c>
      <c r="G111" s="2">
        <v>45504</v>
      </c>
      <c r="H111">
        <v>57.35</v>
      </c>
      <c r="I111" s="1"/>
    </row>
    <row r="112" spans="1:9" x14ac:dyDescent="0.25">
      <c r="A112" t="s">
        <v>311</v>
      </c>
      <c r="B112" t="s">
        <v>289</v>
      </c>
      <c r="C112" s="1" t="s">
        <v>150</v>
      </c>
      <c r="D112" s="1" t="s">
        <v>4</v>
      </c>
      <c r="E112" t="s">
        <v>5</v>
      </c>
      <c r="F112" t="s">
        <v>9</v>
      </c>
      <c r="G112" s="2">
        <v>45555</v>
      </c>
      <c r="H112">
        <v>49</v>
      </c>
      <c r="I112" s="1"/>
    </row>
    <row r="113" spans="1:9" x14ac:dyDescent="0.25">
      <c r="A113" t="s">
        <v>313</v>
      </c>
      <c r="B113" t="s">
        <v>281</v>
      </c>
      <c r="C113" s="1" t="s">
        <v>144</v>
      </c>
      <c r="D113" s="1" t="s">
        <v>4</v>
      </c>
      <c r="E113" t="s">
        <v>5</v>
      </c>
      <c r="F113" t="s">
        <v>11</v>
      </c>
      <c r="G113" s="2">
        <v>45628</v>
      </c>
      <c r="H113">
        <v>50</v>
      </c>
      <c r="I113" s="1"/>
    </row>
    <row r="114" spans="1:9" x14ac:dyDescent="0.25">
      <c r="A114" t="s">
        <v>313</v>
      </c>
      <c r="B114" t="s">
        <v>290</v>
      </c>
      <c r="C114" s="1" t="s">
        <v>31</v>
      </c>
      <c r="D114" s="1" t="s">
        <v>4</v>
      </c>
      <c r="E114" t="s">
        <v>5</v>
      </c>
      <c r="F114" t="s">
        <v>6</v>
      </c>
      <c r="G114" s="2">
        <v>45868</v>
      </c>
      <c r="H114">
        <v>43.97</v>
      </c>
      <c r="I114" s="1"/>
    </row>
    <row r="115" spans="1:9" x14ac:dyDescent="0.25">
      <c r="A115" t="s">
        <v>313</v>
      </c>
      <c r="B115" t="s">
        <v>290</v>
      </c>
      <c r="C115" s="1" t="s">
        <v>33</v>
      </c>
      <c r="D115" s="1" t="s">
        <v>4</v>
      </c>
      <c r="E115" t="s">
        <v>5</v>
      </c>
      <c r="F115" t="s">
        <v>6</v>
      </c>
      <c r="G115" s="2">
        <v>45868</v>
      </c>
      <c r="H115">
        <v>41.97</v>
      </c>
      <c r="I115" s="1"/>
    </row>
    <row r="116" spans="1:9" x14ac:dyDescent="0.25">
      <c r="A116" t="s">
        <v>311</v>
      </c>
      <c r="B116" t="s">
        <v>272</v>
      </c>
      <c r="C116" s="1" t="s">
        <v>130</v>
      </c>
      <c r="D116" s="1" t="s">
        <v>90</v>
      </c>
      <c r="E116" t="s">
        <v>36</v>
      </c>
      <c r="F116" t="s">
        <v>49</v>
      </c>
      <c r="G116" s="2">
        <v>45504</v>
      </c>
      <c r="H116">
        <v>63.5</v>
      </c>
      <c r="I116" s="1"/>
    </row>
    <row r="117" spans="1:9" x14ac:dyDescent="0.25">
      <c r="A117" t="s">
        <v>313</v>
      </c>
      <c r="B117" t="s">
        <v>290</v>
      </c>
      <c r="C117" s="1" t="s">
        <v>32</v>
      </c>
      <c r="D117" s="1" t="s">
        <v>4</v>
      </c>
      <c r="E117" t="s">
        <v>5</v>
      </c>
      <c r="F117" t="s">
        <v>6</v>
      </c>
      <c r="G117" s="2">
        <v>45868</v>
      </c>
      <c r="H117">
        <v>42.97</v>
      </c>
      <c r="I117" s="1"/>
    </row>
    <row r="118" spans="1:9" x14ac:dyDescent="0.25">
      <c r="A118" t="s">
        <v>311</v>
      </c>
      <c r="B118" t="s">
        <v>291</v>
      </c>
      <c r="C118" s="1" t="s">
        <v>165</v>
      </c>
      <c r="D118" s="1" t="s">
        <v>69</v>
      </c>
      <c r="E118" t="s">
        <v>61</v>
      </c>
      <c r="F118" t="s">
        <v>166</v>
      </c>
      <c r="G118" s="2">
        <v>45505</v>
      </c>
      <c r="H118">
        <v>68.5</v>
      </c>
      <c r="I118" s="1"/>
    </row>
    <row r="119" spans="1:9" x14ac:dyDescent="0.25">
      <c r="A119" t="s">
        <v>311</v>
      </c>
      <c r="B119" t="s">
        <v>291</v>
      </c>
      <c r="C119" s="1" t="s">
        <v>164</v>
      </c>
      <c r="D119" s="1" t="s">
        <v>69</v>
      </c>
      <c r="E119" t="s">
        <v>36</v>
      </c>
      <c r="F119" t="s">
        <v>124</v>
      </c>
      <c r="G119" s="2">
        <v>45505</v>
      </c>
      <c r="H119">
        <v>68.5</v>
      </c>
      <c r="I119" s="1"/>
    </row>
    <row r="120" spans="1:9" x14ac:dyDescent="0.25">
      <c r="A120" t="s">
        <v>313</v>
      </c>
      <c r="B120" t="s">
        <v>292</v>
      </c>
      <c r="C120" s="1" t="s">
        <v>163</v>
      </c>
      <c r="D120" s="1" t="s">
        <v>90</v>
      </c>
      <c r="E120" t="s">
        <v>61</v>
      </c>
      <c r="F120" t="s">
        <v>162</v>
      </c>
      <c r="G120" s="2">
        <v>45505</v>
      </c>
      <c r="H120">
        <v>80</v>
      </c>
      <c r="I120" s="1"/>
    </row>
    <row r="121" spans="1:9" x14ac:dyDescent="0.25">
      <c r="A121" t="s">
        <v>313</v>
      </c>
      <c r="B121" t="s">
        <v>292</v>
      </c>
      <c r="C121" s="1" t="s">
        <v>161</v>
      </c>
      <c r="D121" s="1" t="s">
        <v>90</v>
      </c>
      <c r="E121" t="s">
        <v>61</v>
      </c>
      <c r="F121" t="s">
        <v>162</v>
      </c>
      <c r="G121" s="2">
        <v>45505</v>
      </c>
      <c r="H121">
        <v>68</v>
      </c>
      <c r="I121" s="1"/>
    </row>
    <row r="122" spans="1:9" x14ac:dyDescent="0.25">
      <c r="A122" t="s">
        <v>311</v>
      </c>
      <c r="B122" t="s">
        <v>293</v>
      </c>
      <c r="C122" s="1" t="s">
        <v>167</v>
      </c>
      <c r="D122" s="1" t="s">
        <v>4</v>
      </c>
      <c r="E122" t="s">
        <v>5</v>
      </c>
      <c r="F122" t="s">
        <v>13</v>
      </c>
      <c r="G122" s="2">
        <v>45504</v>
      </c>
      <c r="H122">
        <v>50</v>
      </c>
      <c r="I122" s="1"/>
    </row>
    <row r="123" spans="1:9" x14ac:dyDescent="0.25">
      <c r="A123" t="s">
        <v>311</v>
      </c>
      <c r="B123" t="s">
        <v>294</v>
      </c>
      <c r="C123" s="1" t="s">
        <v>10</v>
      </c>
      <c r="D123" s="1" t="s">
        <v>4</v>
      </c>
      <c r="E123" t="s">
        <v>5</v>
      </c>
      <c r="F123" t="s">
        <v>11</v>
      </c>
      <c r="G123" s="2">
        <v>45680</v>
      </c>
      <c r="H123">
        <v>48.95</v>
      </c>
      <c r="I123" s="1"/>
    </row>
    <row r="124" spans="1:9" x14ac:dyDescent="0.25">
      <c r="A124" t="s">
        <v>311</v>
      </c>
      <c r="B124" t="s">
        <v>295</v>
      </c>
      <c r="C124" s="1" t="s">
        <v>141</v>
      </c>
      <c r="D124" s="1" t="s">
        <v>4</v>
      </c>
      <c r="E124" t="s">
        <v>5</v>
      </c>
      <c r="F124" t="s">
        <v>11</v>
      </c>
      <c r="G124" s="2">
        <v>45674</v>
      </c>
      <c r="H124">
        <v>56</v>
      </c>
      <c r="I124" s="1"/>
    </row>
    <row r="125" spans="1:9" x14ac:dyDescent="0.25">
      <c r="A125" t="s">
        <v>311</v>
      </c>
      <c r="B125" t="s">
        <v>296</v>
      </c>
      <c r="C125" s="1" t="s">
        <v>173</v>
      </c>
      <c r="D125" s="1" t="s">
        <v>4</v>
      </c>
      <c r="E125" t="s">
        <v>5</v>
      </c>
      <c r="F125" t="s">
        <v>11</v>
      </c>
      <c r="G125" s="2">
        <v>45504</v>
      </c>
      <c r="H125">
        <v>52</v>
      </c>
      <c r="I125" s="1"/>
    </row>
    <row r="126" spans="1:9" x14ac:dyDescent="0.25">
      <c r="A126" t="s">
        <v>311</v>
      </c>
      <c r="B126" t="s">
        <v>296</v>
      </c>
      <c r="C126" s="1" t="s">
        <v>174</v>
      </c>
      <c r="D126" s="1" t="s">
        <v>115</v>
      </c>
      <c r="E126" t="s">
        <v>61</v>
      </c>
      <c r="F126" t="s">
        <v>70</v>
      </c>
      <c r="G126" s="2">
        <v>45504</v>
      </c>
      <c r="H126">
        <v>75</v>
      </c>
      <c r="I126" s="1"/>
    </row>
    <row r="127" spans="1:9" x14ac:dyDescent="0.25">
      <c r="A127" t="s">
        <v>311</v>
      </c>
      <c r="B127" t="s">
        <v>296</v>
      </c>
      <c r="C127" s="1" t="s">
        <v>172</v>
      </c>
      <c r="D127" s="1" t="s">
        <v>115</v>
      </c>
      <c r="E127" t="s">
        <v>61</v>
      </c>
      <c r="F127" t="s">
        <v>70</v>
      </c>
      <c r="G127" s="2">
        <v>45504</v>
      </c>
      <c r="H127">
        <v>75</v>
      </c>
      <c r="I127" s="1"/>
    </row>
    <row r="128" spans="1:9" x14ac:dyDescent="0.25">
      <c r="A128" t="s">
        <v>311</v>
      </c>
      <c r="B128" t="s">
        <v>296</v>
      </c>
      <c r="C128" s="1" t="s">
        <v>175</v>
      </c>
      <c r="D128" s="1" t="s">
        <v>115</v>
      </c>
      <c r="E128" t="s">
        <v>61</v>
      </c>
      <c r="F128" t="s">
        <v>70</v>
      </c>
      <c r="G128" s="2">
        <v>45504</v>
      </c>
      <c r="H128">
        <v>75</v>
      </c>
      <c r="I128" s="1"/>
    </row>
    <row r="129" spans="1:9" x14ac:dyDescent="0.25">
      <c r="A129" t="s">
        <v>311</v>
      </c>
      <c r="B129" t="s">
        <v>297</v>
      </c>
      <c r="C129" s="1" t="s">
        <v>142</v>
      </c>
      <c r="D129" s="1" t="s">
        <v>4</v>
      </c>
      <c r="E129" t="s">
        <v>5</v>
      </c>
      <c r="F129" t="s">
        <v>11</v>
      </c>
      <c r="G129" s="2">
        <v>45671</v>
      </c>
      <c r="H129">
        <v>51</v>
      </c>
      <c r="I129" s="1"/>
    </row>
    <row r="130" spans="1:9" x14ac:dyDescent="0.25">
      <c r="A130" t="s">
        <v>311</v>
      </c>
      <c r="B130" t="s">
        <v>297</v>
      </c>
      <c r="C130" s="1" t="s">
        <v>143</v>
      </c>
      <c r="D130" s="1" t="s">
        <v>90</v>
      </c>
      <c r="E130" t="s">
        <v>36</v>
      </c>
      <c r="F130" t="s">
        <v>49</v>
      </c>
      <c r="G130" s="2">
        <v>45662</v>
      </c>
      <c r="H130">
        <v>68</v>
      </c>
      <c r="I130" s="1"/>
    </row>
    <row r="131" spans="1:9" x14ac:dyDescent="0.25">
      <c r="A131" t="s">
        <v>311</v>
      </c>
      <c r="B131" t="s">
        <v>293</v>
      </c>
      <c r="C131" s="1" t="s">
        <v>210</v>
      </c>
      <c r="D131" s="1" t="s">
        <v>4</v>
      </c>
      <c r="E131" t="s">
        <v>5</v>
      </c>
      <c r="F131" t="s">
        <v>11</v>
      </c>
      <c r="G131" s="2">
        <v>45414</v>
      </c>
      <c r="H131">
        <v>51</v>
      </c>
      <c r="I131" s="1"/>
    </row>
    <row r="132" spans="1:9" x14ac:dyDescent="0.25">
      <c r="A132" t="s">
        <v>311</v>
      </c>
      <c r="B132" t="s">
        <v>293</v>
      </c>
      <c r="C132" s="1" t="s">
        <v>211</v>
      </c>
      <c r="D132" s="1" t="s">
        <v>39</v>
      </c>
      <c r="E132" t="s">
        <v>36</v>
      </c>
      <c r="F132" t="s">
        <v>96</v>
      </c>
      <c r="G132" s="2">
        <v>45414</v>
      </c>
      <c r="H132">
        <v>63</v>
      </c>
      <c r="I132" s="1"/>
    </row>
    <row r="133" spans="1:9" x14ac:dyDescent="0.25">
      <c r="A133" t="s">
        <v>311</v>
      </c>
      <c r="B133" t="s">
        <v>298</v>
      </c>
      <c r="C133" s="1" t="s">
        <v>16</v>
      </c>
      <c r="D133" s="1" t="s">
        <v>4</v>
      </c>
      <c r="E133" t="s">
        <v>5</v>
      </c>
      <c r="F133" t="s">
        <v>11</v>
      </c>
      <c r="G133" s="2">
        <v>45723</v>
      </c>
      <c r="H133">
        <v>45.5</v>
      </c>
      <c r="I133" s="1"/>
    </row>
    <row r="134" spans="1:9" x14ac:dyDescent="0.25">
      <c r="A134" t="s">
        <v>311</v>
      </c>
      <c r="B134" t="s">
        <v>293</v>
      </c>
      <c r="C134" s="1" t="s">
        <v>168</v>
      </c>
      <c r="D134" s="1" t="s">
        <v>4</v>
      </c>
      <c r="E134" t="s">
        <v>5</v>
      </c>
      <c r="F134" t="s">
        <v>11</v>
      </c>
      <c r="G134" s="2">
        <v>45504</v>
      </c>
      <c r="H134">
        <v>50</v>
      </c>
      <c r="I134" s="1"/>
    </row>
    <row r="135" spans="1:9" x14ac:dyDescent="0.25">
      <c r="A135" t="s">
        <v>311</v>
      </c>
      <c r="B135" t="s">
        <v>299</v>
      </c>
      <c r="C135" s="1" t="s">
        <v>169</v>
      </c>
      <c r="D135" s="1" t="s">
        <v>90</v>
      </c>
      <c r="E135" t="s">
        <v>36</v>
      </c>
      <c r="F135" t="s">
        <v>49</v>
      </c>
      <c r="G135" s="2">
        <v>45504</v>
      </c>
      <c r="H135">
        <v>67</v>
      </c>
      <c r="I135" s="1"/>
    </row>
    <row r="136" spans="1:9" x14ac:dyDescent="0.25">
      <c r="A136" t="s">
        <v>311</v>
      </c>
      <c r="B136" t="s">
        <v>300</v>
      </c>
      <c r="C136" s="1" t="s">
        <v>223</v>
      </c>
      <c r="D136" s="1" t="s">
        <v>69</v>
      </c>
      <c r="E136" t="s">
        <v>61</v>
      </c>
      <c r="F136" t="s">
        <v>224</v>
      </c>
      <c r="G136" s="2">
        <v>45272</v>
      </c>
      <c r="H136">
        <v>69.400000000000006</v>
      </c>
      <c r="I136" s="1"/>
    </row>
    <row r="137" spans="1:9" x14ac:dyDescent="0.25">
      <c r="A137" t="s">
        <v>311</v>
      </c>
      <c r="B137" t="s">
        <v>274</v>
      </c>
      <c r="C137" s="1" t="s">
        <v>204</v>
      </c>
      <c r="D137" s="1" t="s">
        <v>4</v>
      </c>
      <c r="E137" t="s">
        <v>5</v>
      </c>
      <c r="F137" t="s">
        <v>6</v>
      </c>
      <c r="G137" s="2">
        <v>45503</v>
      </c>
      <c r="H137">
        <v>40.5</v>
      </c>
      <c r="I137" s="1"/>
    </row>
    <row r="138" spans="1:9" x14ac:dyDescent="0.25">
      <c r="A138" t="s">
        <v>311</v>
      </c>
      <c r="B138" t="s">
        <v>274</v>
      </c>
      <c r="C138" s="1" t="s">
        <v>203</v>
      </c>
      <c r="D138" s="1" t="s">
        <v>4</v>
      </c>
      <c r="E138" t="s">
        <v>5</v>
      </c>
      <c r="F138" t="s">
        <v>6</v>
      </c>
      <c r="G138" s="2">
        <v>45503</v>
      </c>
      <c r="H138">
        <v>40.5</v>
      </c>
      <c r="I138" s="1"/>
    </row>
    <row r="139" spans="1:9" x14ac:dyDescent="0.25">
      <c r="A139" t="s">
        <v>311</v>
      </c>
      <c r="B139" t="s">
        <v>277</v>
      </c>
      <c r="C139" s="1" t="s">
        <v>212</v>
      </c>
      <c r="D139" s="1" t="s">
        <v>67</v>
      </c>
      <c r="E139" t="s">
        <v>36</v>
      </c>
      <c r="F139" t="s">
        <v>124</v>
      </c>
      <c r="G139" s="2">
        <v>45413</v>
      </c>
      <c r="H139">
        <v>67</v>
      </c>
      <c r="I139" s="1"/>
    </row>
    <row r="140" spans="1:9" x14ac:dyDescent="0.25">
      <c r="A140" t="s">
        <v>311</v>
      </c>
      <c r="B140" t="s">
        <v>274</v>
      </c>
      <c r="C140" s="1" t="s">
        <v>202</v>
      </c>
      <c r="D140" s="1" t="s">
        <v>4</v>
      </c>
      <c r="E140" t="s">
        <v>5</v>
      </c>
      <c r="F140" t="s">
        <v>13</v>
      </c>
      <c r="G140" s="2">
        <v>45503</v>
      </c>
      <c r="H140">
        <v>43.5</v>
      </c>
      <c r="I140" s="1"/>
    </row>
    <row r="141" spans="1:9" x14ac:dyDescent="0.25">
      <c r="A141" t="s">
        <v>311</v>
      </c>
      <c r="B141" t="s">
        <v>277</v>
      </c>
      <c r="C141" s="1" t="s">
        <v>222</v>
      </c>
      <c r="D141" s="1" t="s">
        <v>73</v>
      </c>
      <c r="E141" t="s">
        <v>74</v>
      </c>
      <c r="F141" t="s">
        <v>75</v>
      </c>
      <c r="G141" s="2">
        <v>45321</v>
      </c>
      <c r="H141">
        <v>51</v>
      </c>
      <c r="I141" s="1"/>
    </row>
    <row r="142" spans="1:9" x14ac:dyDescent="0.25">
      <c r="A142" t="s">
        <v>313</v>
      </c>
      <c r="B142" t="s">
        <v>277</v>
      </c>
      <c r="C142" s="1" t="s">
        <v>58</v>
      </c>
      <c r="D142" s="1" t="s">
        <v>4</v>
      </c>
      <c r="E142" t="s">
        <v>5</v>
      </c>
      <c r="F142" t="s">
        <v>6</v>
      </c>
      <c r="G142" s="2">
        <v>45321</v>
      </c>
      <c r="H142">
        <v>45</v>
      </c>
      <c r="I142" s="1"/>
    </row>
    <row r="143" spans="1:9" x14ac:dyDescent="0.25">
      <c r="A143" t="s">
        <v>313</v>
      </c>
      <c r="B143" t="s">
        <v>277</v>
      </c>
      <c r="C143" s="1" t="s">
        <v>221</v>
      </c>
      <c r="D143" s="1" t="s">
        <v>193</v>
      </c>
      <c r="E143" t="s">
        <v>194</v>
      </c>
      <c r="F143" t="s">
        <v>195</v>
      </c>
      <c r="G143" s="2">
        <v>45321</v>
      </c>
      <c r="H143">
        <v>60</v>
      </c>
      <c r="I143" s="1"/>
    </row>
    <row r="144" spans="1:9" x14ac:dyDescent="0.25">
      <c r="A144" t="s">
        <v>311</v>
      </c>
      <c r="B144" t="s">
        <v>301</v>
      </c>
      <c r="C144" s="1" t="s">
        <v>152</v>
      </c>
      <c r="D144" s="1" t="s">
        <v>4</v>
      </c>
      <c r="E144" t="s">
        <v>5</v>
      </c>
      <c r="F144" t="s">
        <v>13</v>
      </c>
      <c r="G144" s="2">
        <v>45524</v>
      </c>
      <c r="H144">
        <v>54.9</v>
      </c>
      <c r="I144" s="1"/>
    </row>
    <row r="145" spans="1:9" x14ac:dyDescent="0.25">
      <c r="A145" t="s">
        <v>313</v>
      </c>
      <c r="B145" t="s">
        <v>277</v>
      </c>
      <c r="C145" s="1" t="s">
        <v>59</v>
      </c>
      <c r="D145" s="1" t="s">
        <v>60</v>
      </c>
      <c r="E145" t="s">
        <v>61</v>
      </c>
      <c r="F145" t="s">
        <v>166</v>
      </c>
      <c r="G145" s="2">
        <v>45321</v>
      </c>
      <c r="H145">
        <v>60</v>
      </c>
      <c r="I145" s="1"/>
    </row>
    <row r="146" spans="1:9" x14ac:dyDescent="0.25">
      <c r="A146" t="s">
        <v>313</v>
      </c>
      <c r="B146" t="s">
        <v>277</v>
      </c>
      <c r="C146" s="1" t="s">
        <v>220</v>
      </c>
      <c r="D146" s="1" t="s">
        <v>60</v>
      </c>
      <c r="E146" t="s">
        <v>61</v>
      </c>
      <c r="F146" t="s">
        <v>70</v>
      </c>
      <c r="G146" s="2">
        <v>45321</v>
      </c>
      <c r="H146">
        <v>59</v>
      </c>
      <c r="I146" s="1"/>
    </row>
    <row r="147" spans="1:9" x14ac:dyDescent="0.25">
      <c r="A147" t="s">
        <v>311</v>
      </c>
      <c r="B147" t="s">
        <v>277</v>
      </c>
      <c r="C147" s="1" t="s">
        <v>219</v>
      </c>
      <c r="D147" s="1" t="s">
        <v>57</v>
      </c>
      <c r="E147" t="s">
        <v>36</v>
      </c>
      <c r="F147" t="s">
        <v>40</v>
      </c>
      <c r="G147" s="2">
        <v>45321</v>
      </c>
      <c r="H147">
        <v>57</v>
      </c>
      <c r="I147" s="1"/>
    </row>
    <row r="148" spans="1:9" x14ac:dyDescent="0.25">
      <c r="A148" t="s">
        <v>311</v>
      </c>
      <c r="B148" t="s">
        <v>277</v>
      </c>
      <c r="C148" s="1" t="s">
        <v>218</v>
      </c>
      <c r="D148" s="1" t="s">
        <v>4</v>
      </c>
      <c r="E148" t="s">
        <v>5</v>
      </c>
      <c r="F148" t="s">
        <v>9</v>
      </c>
      <c r="G148" s="2">
        <v>45321</v>
      </c>
      <c r="H148">
        <v>59</v>
      </c>
      <c r="I148" s="1"/>
    </row>
    <row r="149" spans="1:9" x14ac:dyDescent="0.25">
      <c r="A149" t="s">
        <v>311</v>
      </c>
      <c r="B149" t="s">
        <v>301</v>
      </c>
      <c r="C149" s="1" t="s">
        <v>152</v>
      </c>
      <c r="D149" s="1" t="s">
        <v>4</v>
      </c>
      <c r="E149" t="s">
        <v>5</v>
      </c>
      <c r="F149" t="s">
        <v>9</v>
      </c>
      <c r="G149" s="2">
        <v>45524</v>
      </c>
      <c r="H149">
        <v>57.9</v>
      </c>
      <c r="I149" s="1"/>
    </row>
    <row r="150" spans="1:9" x14ac:dyDescent="0.25">
      <c r="A150" t="s">
        <v>311</v>
      </c>
      <c r="B150" t="s">
        <v>272</v>
      </c>
      <c r="C150" s="1" t="s">
        <v>170</v>
      </c>
      <c r="D150" s="1" t="s">
        <v>35</v>
      </c>
      <c r="E150" t="s">
        <v>36</v>
      </c>
      <c r="F150" t="s">
        <v>40</v>
      </c>
      <c r="G150" s="2">
        <v>45504</v>
      </c>
      <c r="H150">
        <v>61.75</v>
      </c>
      <c r="I150" s="1"/>
    </row>
    <row r="151" spans="1:9" x14ac:dyDescent="0.25">
      <c r="A151" t="s">
        <v>311</v>
      </c>
      <c r="B151" t="s">
        <v>272</v>
      </c>
      <c r="C151" s="1" t="s">
        <v>171</v>
      </c>
      <c r="D151" s="1" t="s">
        <v>67</v>
      </c>
      <c r="E151" t="s">
        <v>36</v>
      </c>
      <c r="F151" t="s">
        <v>124</v>
      </c>
      <c r="G151" s="2">
        <v>45504</v>
      </c>
      <c r="H151">
        <v>71</v>
      </c>
      <c r="I151" s="1"/>
    </row>
    <row r="152" spans="1:9" x14ac:dyDescent="0.25">
      <c r="A152" t="s">
        <v>311</v>
      </c>
      <c r="B152" t="s">
        <v>302</v>
      </c>
      <c r="C152" s="1" t="s">
        <v>237</v>
      </c>
      <c r="D152" s="1" t="s">
        <v>4</v>
      </c>
      <c r="E152" t="s">
        <v>5</v>
      </c>
      <c r="F152" t="s">
        <v>11</v>
      </c>
      <c r="G152" s="2">
        <v>45218</v>
      </c>
      <c r="H152">
        <v>54.77</v>
      </c>
      <c r="I152" s="1"/>
    </row>
    <row r="153" spans="1:9" x14ac:dyDescent="0.25">
      <c r="A153" t="s">
        <v>311</v>
      </c>
      <c r="B153" t="s">
        <v>303</v>
      </c>
      <c r="C153" s="1" t="s">
        <v>216</v>
      </c>
      <c r="D153" s="1" t="s">
        <v>35</v>
      </c>
      <c r="E153" t="s">
        <v>36</v>
      </c>
      <c r="F153" t="s">
        <v>40</v>
      </c>
      <c r="G153" s="2">
        <v>45321</v>
      </c>
      <c r="H153">
        <v>57</v>
      </c>
      <c r="I153" s="1"/>
    </row>
    <row r="154" spans="1:9" x14ac:dyDescent="0.25">
      <c r="A154" t="s">
        <v>311</v>
      </c>
      <c r="B154" t="s">
        <v>303</v>
      </c>
      <c r="C154" s="1" t="s">
        <v>213</v>
      </c>
      <c r="D154" s="1" t="s">
        <v>156</v>
      </c>
      <c r="E154" t="s">
        <v>61</v>
      </c>
      <c r="F154" t="s">
        <v>70</v>
      </c>
      <c r="G154" s="2">
        <v>45321</v>
      </c>
      <c r="H154">
        <v>75</v>
      </c>
      <c r="I154" s="1"/>
    </row>
    <row r="155" spans="1:9" x14ac:dyDescent="0.25">
      <c r="A155" t="s">
        <v>314</v>
      </c>
      <c r="B155" t="s">
        <v>303</v>
      </c>
      <c r="C155" s="1" t="s">
        <v>214</v>
      </c>
      <c r="D155" s="1" t="s">
        <v>215</v>
      </c>
      <c r="E155" t="s">
        <v>19</v>
      </c>
      <c r="F155" t="s">
        <v>20</v>
      </c>
      <c r="G155" s="2">
        <v>45321</v>
      </c>
      <c r="H155">
        <v>34.85</v>
      </c>
      <c r="I155" s="1"/>
    </row>
    <row r="156" spans="1:9" x14ac:dyDescent="0.25">
      <c r="A156" t="s">
        <v>311</v>
      </c>
      <c r="B156" t="s">
        <v>304</v>
      </c>
      <c r="C156" s="1" t="s">
        <v>227</v>
      </c>
      <c r="D156" s="1" t="s">
        <v>67</v>
      </c>
      <c r="E156" t="s">
        <v>36</v>
      </c>
      <c r="F156" t="s">
        <v>124</v>
      </c>
      <c r="G156" s="2">
        <v>45265</v>
      </c>
      <c r="H156">
        <v>62.13</v>
      </c>
      <c r="I156" s="1"/>
    </row>
    <row r="157" spans="1:9" x14ac:dyDescent="0.25">
      <c r="A157" t="s">
        <v>311</v>
      </c>
      <c r="B157" t="s">
        <v>304</v>
      </c>
      <c r="C157" s="1" t="s">
        <v>233</v>
      </c>
      <c r="D157" s="1" t="s">
        <v>39</v>
      </c>
      <c r="E157" t="s">
        <v>36</v>
      </c>
      <c r="F157" t="s">
        <v>96</v>
      </c>
      <c r="G157" s="2">
        <v>45265</v>
      </c>
      <c r="H157">
        <v>62.74</v>
      </c>
      <c r="I157" s="1"/>
    </row>
    <row r="158" spans="1:9" x14ac:dyDescent="0.25">
      <c r="A158" t="s">
        <v>311</v>
      </c>
      <c r="B158" t="s">
        <v>304</v>
      </c>
      <c r="C158" s="1" t="s">
        <v>234</v>
      </c>
      <c r="D158" s="1" t="s">
        <v>57</v>
      </c>
      <c r="E158" t="s">
        <v>36</v>
      </c>
      <c r="F158" t="s">
        <v>235</v>
      </c>
      <c r="G158" s="2">
        <v>45265</v>
      </c>
      <c r="H158">
        <v>61.36</v>
      </c>
      <c r="I158" s="1"/>
    </row>
    <row r="159" spans="1:9" x14ac:dyDescent="0.25">
      <c r="A159" t="s">
        <v>311</v>
      </c>
      <c r="B159" t="s">
        <v>304</v>
      </c>
      <c r="C159" s="1" t="s">
        <v>226</v>
      </c>
      <c r="D159" s="1" t="s">
        <v>67</v>
      </c>
      <c r="E159" t="s">
        <v>61</v>
      </c>
      <c r="F159" t="s">
        <v>166</v>
      </c>
      <c r="G159" s="2">
        <v>45265</v>
      </c>
      <c r="H159">
        <v>69.52</v>
      </c>
      <c r="I159" s="1"/>
    </row>
    <row r="160" spans="1:9" x14ac:dyDescent="0.25">
      <c r="A160" t="s">
        <v>311</v>
      </c>
      <c r="B160" t="s">
        <v>304</v>
      </c>
      <c r="C160" s="1" t="s">
        <v>225</v>
      </c>
      <c r="D160" s="1" t="s">
        <v>115</v>
      </c>
      <c r="E160" t="s">
        <v>61</v>
      </c>
      <c r="F160" t="s">
        <v>70</v>
      </c>
      <c r="G160" s="2">
        <v>45265</v>
      </c>
      <c r="H160">
        <v>77.61</v>
      </c>
      <c r="I160" s="1"/>
    </row>
    <row r="161" spans="1:9" x14ac:dyDescent="0.25">
      <c r="A161" t="s">
        <v>311</v>
      </c>
      <c r="B161" t="s">
        <v>304</v>
      </c>
      <c r="C161" s="1" t="s">
        <v>232</v>
      </c>
      <c r="D161" s="1" t="s">
        <v>115</v>
      </c>
      <c r="E161" t="s">
        <v>61</v>
      </c>
      <c r="F161" t="s">
        <v>70</v>
      </c>
      <c r="G161" s="2">
        <v>45265</v>
      </c>
      <c r="H161">
        <v>72.040000000000006</v>
      </c>
      <c r="I161" s="1"/>
    </row>
    <row r="162" spans="1:9" x14ac:dyDescent="0.25">
      <c r="A162" t="s">
        <v>311</v>
      </c>
      <c r="B162" t="s">
        <v>304</v>
      </c>
      <c r="C162" s="1" t="s">
        <v>230</v>
      </c>
      <c r="D162" s="1" t="s">
        <v>125</v>
      </c>
      <c r="E162" t="s">
        <v>74</v>
      </c>
      <c r="F162" t="s">
        <v>231</v>
      </c>
      <c r="G162" s="2">
        <v>45265</v>
      </c>
      <c r="H162">
        <v>68.08</v>
      </c>
      <c r="I162" s="1"/>
    </row>
    <row r="163" spans="1:9" x14ac:dyDescent="0.25">
      <c r="A163" t="s">
        <v>311</v>
      </c>
      <c r="B163" t="s">
        <v>305</v>
      </c>
      <c r="C163" s="1" t="s">
        <v>241</v>
      </c>
      <c r="D163" s="1" t="s">
        <v>4</v>
      </c>
      <c r="E163" t="s">
        <v>5</v>
      </c>
      <c r="F163" t="s">
        <v>13</v>
      </c>
      <c r="G163" s="2">
        <v>45205</v>
      </c>
      <c r="H163">
        <v>46.25</v>
      </c>
      <c r="I163" s="1"/>
    </row>
    <row r="164" spans="1:9" x14ac:dyDescent="0.25">
      <c r="A164" t="s">
        <v>313</v>
      </c>
      <c r="B164" t="s">
        <v>305</v>
      </c>
      <c r="C164" s="1" t="s">
        <v>240</v>
      </c>
      <c r="D164" s="1" t="s">
        <v>18</v>
      </c>
      <c r="E164" t="s">
        <v>19</v>
      </c>
      <c r="F164" t="s">
        <v>20</v>
      </c>
      <c r="G164" s="2">
        <v>45205</v>
      </c>
      <c r="H164">
        <v>80</v>
      </c>
      <c r="I164" s="1"/>
    </row>
    <row r="165" spans="1:9" x14ac:dyDescent="0.25">
      <c r="A165" t="s">
        <v>311</v>
      </c>
      <c r="B165" t="s">
        <v>305</v>
      </c>
      <c r="C165" s="1" t="s">
        <v>238</v>
      </c>
      <c r="D165" s="1" t="s">
        <v>4</v>
      </c>
      <c r="E165" t="s">
        <v>5</v>
      </c>
      <c r="F165" t="s">
        <v>13</v>
      </c>
      <c r="G165" s="2">
        <v>45205</v>
      </c>
      <c r="H165">
        <v>46.25</v>
      </c>
      <c r="I165" s="1"/>
    </row>
    <row r="166" spans="1:9" x14ac:dyDescent="0.25">
      <c r="A166" t="s">
        <v>311</v>
      </c>
      <c r="B166" t="s">
        <v>305</v>
      </c>
      <c r="C166" s="1" t="s">
        <v>239</v>
      </c>
      <c r="D166" s="1" t="s">
        <v>4</v>
      </c>
      <c r="E166" t="s">
        <v>5</v>
      </c>
      <c r="F166" t="s">
        <v>13</v>
      </c>
      <c r="G166" s="2">
        <v>45205</v>
      </c>
      <c r="H166">
        <v>46.25</v>
      </c>
      <c r="I166" s="1"/>
    </row>
    <row r="167" spans="1:9" x14ac:dyDescent="0.25">
      <c r="A167" t="s">
        <v>314</v>
      </c>
      <c r="B167" t="s">
        <v>303</v>
      </c>
      <c r="C167" s="1" t="s">
        <v>251</v>
      </c>
      <c r="D167" s="1" t="s">
        <v>131</v>
      </c>
      <c r="E167" t="s">
        <v>36</v>
      </c>
      <c r="F167" t="s">
        <v>132</v>
      </c>
      <c r="G167" s="2">
        <v>41669</v>
      </c>
      <c r="H167">
        <v>68</v>
      </c>
      <c r="I167" s="1"/>
    </row>
    <row r="168" spans="1:9" x14ac:dyDescent="0.25">
      <c r="A168" t="s">
        <v>311</v>
      </c>
      <c r="B168" t="s">
        <v>306</v>
      </c>
      <c r="C168" s="1" t="s">
        <v>7</v>
      </c>
      <c r="D168" s="1" t="s">
        <v>4</v>
      </c>
      <c r="E168" t="s">
        <v>5</v>
      </c>
      <c r="F168" t="s">
        <v>13</v>
      </c>
      <c r="G168" s="2">
        <v>45504</v>
      </c>
      <c r="H168">
        <v>48</v>
      </c>
      <c r="I168" s="1"/>
    </row>
    <row r="169" spans="1:9" x14ac:dyDescent="0.25">
      <c r="A169" t="s">
        <v>311</v>
      </c>
      <c r="B169" t="s">
        <v>307</v>
      </c>
      <c r="C169" s="1" t="s">
        <v>209</v>
      </c>
      <c r="D169" s="1" t="s">
        <v>4</v>
      </c>
      <c r="E169" t="s">
        <v>5</v>
      </c>
      <c r="F169" t="s">
        <v>11</v>
      </c>
      <c r="G169" s="2">
        <v>45453</v>
      </c>
      <c r="H169">
        <v>55.39</v>
      </c>
      <c r="I169" s="1"/>
    </row>
    <row r="170" spans="1:9" x14ac:dyDescent="0.25">
      <c r="A170" t="s">
        <v>313</v>
      </c>
      <c r="B170" t="s">
        <v>307</v>
      </c>
      <c r="C170" s="1" t="s">
        <v>243</v>
      </c>
      <c r="D170" s="1" t="s">
        <v>4</v>
      </c>
      <c r="E170" t="s">
        <v>5</v>
      </c>
      <c r="F170" t="s">
        <v>6</v>
      </c>
      <c r="G170" s="2">
        <v>45198</v>
      </c>
      <c r="H170">
        <v>34.799999999999997</v>
      </c>
      <c r="I170" s="1"/>
    </row>
    <row r="171" spans="1:9" x14ac:dyDescent="0.25">
      <c r="A171" t="s">
        <v>313</v>
      </c>
      <c r="B171" t="s">
        <v>307</v>
      </c>
      <c r="C171" s="1" t="s">
        <v>242</v>
      </c>
      <c r="D171" s="1" t="s">
        <v>4</v>
      </c>
      <c r="E171" t="s">
        <v>5</v>
      </c>
      <c r="F171" t="s">
        <v>6</v>
      </c>
      <c r="G171" s="2">
        <v>45198</v>
      </c>
      <c r="H171">
        <v>34.200000000000003</v>
      </c>
      <c r="I171" s="1"/>
    </row>
    <row r="172" spans="1:9" x14ac:dyDescent="0.25">
      <c r="A172" t="s">
        <v>311</v>
      </c>
      <c r="B172" t="s">
        <v>307</v>
      </c>
      <c r="C172" s="1" t="s">
        <v>246</v>
      </c>
      <c r="D172" s="1" t="s">
        <v>35</v>
      </c>
      <c r="E172" t="s">
        <v>36</v>
      </c>
      <c r="F172" t="s">
        <v>40</v>
      </c>
      <c r="G172" s="2">
        <v>45198</v>
      </c>
      <c r="H172">
        <v>54.15</v>
      </c>
      <c r="I172" s="1"/>
    </row>
    <row r="173" spans="1:9" x14ac:dyDescent="0.25">
      <c r="A173" t="s">
        <v>314</v>
      </c>
      <c r="B173" t="s">
        <v>265</v>
      </c>
      <c r="C173" s="1" t="s">
        <v>248</v>
      </c>
      <c r="D173" s="1" t="s">
        <v>4</v>
      </c>
      <c r="E173" t="s">
        <v>5</v>
      </c>
      <c r="F173" t="s">
        <v>11</v>
      </c>
      <c r="G173" s="2">
        <v>45139</v>
      </c>
      <c r="H173">
        <v>57</v>
      </c>
      <c r="I173" s="1"/>
    </row>
    <row r="174" spans="1:9" x14ac:dyDescent="0.25">
      <c r="A174" t="s">
        <v>313</v>
      </c>
      <c r="B174" t="s">
        <v>307</v>
      </c>
      <c r="C174" s="1" t="s">
        <v>244</v>
      </c>
      <c r="D174" s="1" t="s">
        <v>245</v>
      </c>
      <c r="E174" t="s">
        <v>74</v>
      </c>
      <c r="F174" t="s">
        <v>231</v>
      </c>
      <c r="G174" s="2">
        <v>45198</v>
      </c>
      <c r="H174">
        <v>44.55</v>
      </c>
      <c r="I174" s="1"/>
    </row>
    <row r="175" spans="1:9" x14ac:dyDescent="0.25">
      <c r="A175" t="s">
        <v>311</v>
      </c>
      <c r="B175" t="s">
        <v>307</v>
      </c>
      <c r="C175" s="1" t="s">
        <v>247</v>
      </c>
      <c r="D175" s="1" t="s">
        <v>73</v>
      </c>
      <c r="E175" t="s">
        <v>74</v>
      </c>
      <c r="F175" t="s">
        <v>75</v>
      </c>
      <c r="G175" s="2">
        <v>45198</v>
      </c>
      <c r="H175">
        <v>47.95</v>
      </c>
      <c r="I175" s="1"/>
    </row>
    <row r="176" spans="1:9" x14ac:dyDescent="0.25">
      <c r="A176" t="s">
        <v>311</v>
      </c>
      <c r="B176" t="s">
        <v>308</v>
      </c>
      <c r="C176" s="1" t="s">
        <v>118</v>
      </c>
      <c r="D176" s="1" t="s">
        <v>4</v>
      </c>
      <c r="E176" t="s">
        <v>5</v>
      </c>
      <c r="F176" t="s">
        <v>6</v>
      </c>
      <c r="G176" s="2">
        <v>45807</v>
      </c>
      <c r="H176">
        <v>46.4</v>
      </c>
      <c r="I176" s="1"/>
    </row>
    <row r="177" spans="1:9" x14ac:dyDescent="0.25">
      <c r="A177" t="s">
        <v>311</v>
      </c>
      <c r="B177" t="s">
        <v>308</v>
      </c>
      <c r="C177" s="1" t="s">
        <v>154</v>
      </c>
      <c r="D177" s="1" t="s">
        <v>4</v>
      </c>
      <c r="E177" t="s">
        <v>5</v>
      </c>
      <c r="F177" t="s">
        <v>6</v>
      </c>
      <c r="G177" s="2">
        <v>45516</v>
      </c>
      <c r="H177">
        <v>47.8</v>
      </c>
      <c r="I177" s="1"/>
    </row>
    <row r="178" spans="1:9" x14ac:dyDescent="0.25">
      <c r="A178" t="s">
        <v>311</v>
      </c>
      <c r="B178" t="s">
        <v>308</v>
      </c>
      <c r="C178" s="1" t="s">
        <v>176</v>
      </c>
      <c r="D178" s="1" t="s">
        <v>4</v>
      </c>
      <c r="E178" t="s">
        <v>5</v>
      </c>
      <c r="F178" t="s">
        <v>13</v>
      </c>
      <c r="G178" s="2">
        <v>45504</v>
      </c>
      <c r="H178">
        <v>54.8</v>
      </c>
      <c r="I178" s="1"/>
    </row>
    <row r="179" spans="1:9" x14ac:dyDescent="0.25">
      <c r="A179" t="s">
        <v>311</v>
      </c>
      <c r="B179" t="s">
        <v>295</v>
      </c>
      <c r="C179" s="1" t="s">
        <v>205</v>
      </c>
      <c r="D179" s="1" t="s">
        <v>4</v>
      </c>
      <c r="E179" t="s">
        <v>5</v>
      </c>
      <c r="F179" t="s">
        <v>11</v>
      </c>
      <c r="G179" s="2">
        <v>45503</v>
      </c>
      <c r="H179">
        <v>44</v>
      </c>
      <c r="I179" s="1"/>
    </row>
    <row r="180" spans="1:9" x14ac:dyDescent="0.25">
      <c r="A180" t="s">
        <v>311</v>
      </c>
      <c r="B180" t="s">
        <v>281</v>
      </c>
      <c r="C180" s="1" t="s">
        <v>177</v>
      </c>
      <c r="D180" s="1" t="s">
        <v>4</v>
      </c>
      <c r="E180" t="s">
        <v>5</v>
      </c>
      <c r="F180" t="s">
        <v>11</v>
      </c>
      <c r="G180" s="2">
        <v>45504</v>
      </c>
      <c r="H180">
        <v>46.65</v>
      </c>
      <c r="I180" s="1"/>
    </row>
    <row r="181" spans="1:9" x14ac:dyDescent="0.25">
      <c r="A181" t="s">
        <v>311</v>
      </c>
      <c r="B181" t="s">
        <v>286</v>
      </c>
      <c r="C181" s="1" t="s">
        <v>178</v>
      </c>
      <c r="D181" s="1" t="s">
        <v>102</v>
      </c>
      <c r="E181" t="s">
        <v>61</v>
      </c>
      <c r="F181" t="s">
        <v>166</v>
      </c>
      <c r="G181" s="2">
        <v>45504</v>
      </c>
      <c r="H181">
        <v>68.650000000000006</v>
      </c>
      <c r="I181" s="1"/>
    </row>
    <row r="182" spans="1:9" x14ac:dyDescent="0.25">
      <c r="A182" t="s">
        <v>311</v>
      </c>
      <c r="B182" t="s">
        <v>286</v>
      </c>
      <c r="C182" s="1" t="s">
        <v>179</v>
      </c>
      <c r="D182" s="1" t="s">
        <v>153</v>
      </c>
      <c r="E182" t="s">
        <v>36</v>
      </c>
      <c r="F182" t="s">
        <v>180</v>
      </c>
      <c r="G182" s="2">
        <v>45504</v>
      </c>
      <c r="H182">
        <v>85</v>
      </c>
      <c r="I182" s="1"/>
    </row>
    <row r="183" spans="1:9" x14ac:dyDescent="0.25">
      <c r="A183" t="s">
        <v>311</v>
      </c>
      <c r="B183" t="s">
        <v>304</v>
      </c>
      <c r="C183" s="1" t="s">
        <v>229</v>
      </c>
      <c r="D183" s="1" t="s">
        <v>4</v>
      </c>
      <c r="E183" t="s">
        <v>5</v>
      </c>
      <c r="F183" t="s">
        <v>13</v>
      </c>
      <c r="G183" s="2">
        <v>45265</v>
      </c>
      <c r="H183">
        <v>51.46</v>
      </c>
      <c r="I183" s="1"/>
    </row>
    <row r="184" spans="1:9" x14ac:dyDescent="0.25">
      <c r="A184" t="s">
        <v>311</v>
      </c>
      <c r="B184" t="s">
        <v>304</v>
      </c>
      <c r="C184" s="1" t="s">
        <v>228</v>
      </c>
      <c r="D184" s="1" t="s">
        <v>4</v>
      </c>
      <c r="E184" t="s">
        <v>5</v>
      </c>
      <c r="F184" t="s">
        <v>13</v>
      </c>
      <c r="G184" s="2">
        <v>45265</v>
      </c>
      <c r="H184">
        <v>51.5</v>
      </c>
      <c r="I184" s="1"/>
    </row>
    <row r="185" spans="1:9" x14ac:dyDescent="0.25">
      <c r="A185" t="s">
        <v>313</v>
      </c>
      <c r="B185" t="s">
        <v>286</v>
      </c>
      <c r="C185" s="1" t="s">
        <v>185</v>
      </c>
      <c r="D185" s="1" t="s">
        <v>4</v>
      </c>
      <c r="E185" t="s">
        <v>5</v>
      </c>
      <c r="F185" t="s">
        <v>13</v>
      </c>
      <c r="G185" s="2">
        <v>45504</v>
      </c>
      <c r="H185">
        <v>57.12</v>
      </c>
      <c r="I185" s="1"/>
    </row>
    <row r="186" spans="1:9" x14ac:dyDescent="0.25">
      <c r="A186" t="s">
        <v>311</v>
      </c>
      <c r="B186" t="s">
        <v>286</v>
      </c>
      <c r="C186" s="1" t="s">
        <v>186</v>
      </c>
      <c r="D186" s="1" t="s">
        <v>4</v>
      </c>
      <c r="E186" t="s">
        <v>5</v>
      </c>
      <c r="F186" t="s">
        <v>11</v>
      </c>
      <c r="G186" s="2">
        <v>45504</v>
      </c>
      <c r="H186">
        <v>59.41</v>
      </c>
      <c r="I186" s="1"/>
    </row>
    <row r="187" spans="1:9" x14ac:dyDescent="0.25">
      <c r="A187" t="s">
        <v>311</v>
      </c>
      <c r="B187" t="s">
        <v>286</v>
      </c>
      <c r="C187" s="1" t="s">
        <v>184</v>
      </c>
      <c r="D187" s="1" t="s">
        <v>4</v>
      </c>
      <c r="E187" t="s">
        <v>5</v>
      </c>
      <c r="F187" t="s">
        <v>13</v>
      </c>
      <c r="G187" s="2">
        <v>45504</v>
      </c>
      <c r="H187">
        <v>62.65</v>
      </c>
      <c r="I187" s="1"/>
    </row>
    <row r="188" spans="1:9" x14ac:dyDescent="0.25">
      <c r="A188" t="s">
        <v>311</v>
      </c>
      <c r="B188" t="s">
        <v>277</v>
      </c>
      <c r="C188" s="1" t="s">
        <v>217</v>
      </c>
      <c r="D188" s="1" t="s">
        <v>4</v>
      </c>
      <c r="E188" t="s">
        <v>5</v>
      </c>
      <c r="F188" t="s">
        <v>11</v>
      </c>
      <c r="G188" s="2">
        <v>45321</v>
      </c>
      <c r="H188">
        <v>53</v>
      </c>
      <c r="I188" s="1"/>
    </row>
    <row r="189" spans="1:9" x14ac:dyDescent="0.25">
      <c r="A189" t="s">
        <v>311</v>
      </c>
      <c r="B189" t="s">
        <v>299</v>
      </c>
      <c r="C189" s="1" t="s">
        <v>197</v>
      </c>
      <c r="D189" s="1" t="s">
        <v>4</v>
      </c>
      <c r="E189" t="s">
        <v>5</v>
      </c>
      <c r="F189" t="s">
        <v>11</v>
      </c>
      <c r="G189" s="2">
        <v>45504</v>
      </c>
      <c r="H189">
        <v>51</v>
      </c>
      <c r="I189" s="1"/>
    </row>
    <row r="190" spans="1:9" x14ac:dyDescent="0.25">
      <c r="A190" t="s">
        <v>311</v>
      </c>
      <c r="B190" t="s">
        <v>295</v>
      </c>
      <c r="C190" s="1" t="s">
        <v>206</v>
      </c>
      <c r="D190" s="1" t="s">
        <v>4</v>
      </c>
      <c r="E190" t="s">
        <v>5</v>
      </c>
      <c r="F190" t="s">
        <v>11</v>
      </c>
      <c r="G190" s="2">
        <v>45503</v>
      </c>
      <c r="H190">
        <v>42.97</v>
      </c>
      <c r="I190" s="1"/>
    </row>
    <row r="191" spans="1:9" x14ac:dyDescent="0.25">
      <c r="A191" t="s">
        <v>311</v>
      </c>
      <c r="B191" t="s">
        <v>295</v>
      </c>
      <c r="C191" s="1" t="s">
        <v>207</v>
      </c>
      <c r="D191" s="1" t="s">
        <v>4</v>
      </c>
      <c r="E191" t="s">
        <v>5</v>
      </c>
      <c r="F191" t="s">
        <v>11</v>
      </c>
      <c r="G191" s="2">
        <v>45503</v>
      </c>
      <c r="H191">
        <v>45.95</v>
      </c>
      <c r="I191" s="1"/>
    </row>
    <row r="192" spans="1:9" x14ac:dyDescent="0.25">
      <c r="A192" t="s">
        <v>311</v>
      </c>
      <c r="B192" t="s">
        <v>295</v>
      </c>
      <c r="C192" s="1" t="s">
        <v>208</v>
      </c>
      <c r="D192" s="1" t="s">
        <v>4</v>
      </c>
      <c r="E192" t="s">
        <v>5</v>
      </c>
      <c r="F192" t="s">
        <v>11</v>
      </c>
      <c r="G192" s="2">
        <v>45503</v>
      </c>
      <c r="H192">
        <v>48.82</v>
      </c>
      <c r="I192" s="1"/>
    </row>
    <row r="193" spans="1:9" x14ac:dyDescent="0.25">
      <c r="A193" t="s">
        <v>311</v>
      </c>
      <c r="B193" t="s">
        <v>309</v>
      </c>
      <c r="C193" s="1" t="s">
        <v>8</v>
      </c>
      <c r="D193" s="1" t="s">
        <v>4</v>
      </c>
      <c r="E193" t="s">
        <v>5</v>
      </c>
      <c r="F193" t="s">
        <v>6</v>
      </c>
      <c r="G193" s="2">
        <v>45671</v>
      </c>
      <c r="H193">
        <v>45</v>
      </c>
      <c r="I193" s="1"/>
    </row>
    <row r="194" spans="1:9" x14ac:dyDescent="0.25">
      <c r="A194" t="s">
        <v>311</v>
      </c>
      <c r="B194" t="s">
        <v>307</v>
      </c>
      <c r="C194" s="1" t="s">
        <v>249</v>
      </c>
      <c r="D194" s="1" t="s">
        <v>4</v>
      </c>
      <c r="E194" t="s">
        <v>5</v>
      </c>
      <c r="F194" t="s">
        <v>11</v>
      </c>
      <c r="G194" s="2">
        <v>44893</v>
      </c>
      <c r="H194">
        <v>46.75</v>
      </c>
      <c r="I194" s="1"/>
    </row>
    <row r="195" spans="1:9" x14ac:dyDescent="0.25">
      <c r="A195" t="s">
        <v>311</v>
      </c>
      <c r="B195" t="s">
        <v>307</v>
      </c>
      <c r="C195" s="1" t="s">
        <v>250</v>
      </c>
      <c r="D195" s="1" t="s">
        <v>35</v>
      </c>
      <c r="E195" t="s">
        <v>36</v>
      </c>
      <c r="F195" t="s">
        <v>40</v>
      </c>
      <c r="G195" s="2">
        <v>44893</v>
      </c>
      <c r="H195">
        <v>52.16</v>
      </c>
      <c r="I195" s="1"/>
    </row>
    <row r="196" spans="1:9" x14ac:dyDescent="0.25">
      <c r="A196" t="s">
        <v>311</v>
      </c>
      <c r="B196" t="s">
        <v>290</v>
      </c>
      <c r="C196" s="1" t="s">
        <v>160</v>
      </c>
      <c r="D196" s="1" t="s">
        <v>4</v>
      </c>
      <c r="E196" t="s">
        <v>5</v>
      </c>
      <c r="F196" t="s">
        <v>11</v>
      </c>
      <c r="G196" s="2">
        <v>45516</v>
      </c>
      <c r="H196">
        <v>47.47</v>
      </c>
      <c r="I196" s="1"/>
    </row>
    <row r="197" spans="1:9" x14ac:dyDescent="0.25">
      <c r="A197" t="s">
        <v>311</v>
      </c>
      <c r="B197" t="s">
        <v>290</v>
      </c>
      <c r="C197" s="1" t="s">
        <v>159</v>
      </c>
      <c r="D197" s="1" t="s">
        <v>4</v>
      </c>
      <c r="E197" t="s">
        <v>5</v>
      </c>
      <c r="F197" t="s">
        <v>11</v>
      </c>
      <c r="G197" s="2">
        <v>45516</v>
      </c>
      <c r="H197">
        <v>49.65</v>
      </c>
      <c r="I197" s="1"/>
    </row>
    <row r="198" spans="1:9" x14ac:dyDescent="0.25">
      <c r="A198" t="s">
        <v>313</v>
      </c>
      <c r="B198" t="s">
        <v>290</v>
      </c>
      <c r="C198" s="1" t="s">
        <v>158</v>
      </c>
      <c r="D198" s="1" t="s">
        <v>18</v>
      </c>
      <c r="E198" t="s">
        <v>19</v>
      </c>
      <c r="F198" t="s">
        <v>147</v>
      </c>
      <c r="G198" s="2">
        <v>45516</v>
      </c>
      <c r="H198">
        <v>69.47</v>
      </c>
      <c r="I198" s="1"/>
    </row>
    <row r="199" spans="1:9" x14ac:dyDescent="0.25">
      <c r="A199" t="s">
        <v>313</v>
      </c>
      <c r="B199" t="s">
        <v>290</v>
      </c>
      <c r="C199" s="1" t="s">
        <v>157</v>
      </c>
      <c r="D199" s="1" t="s">
        <v>35</v>
      </c>
      <c r="E199" t="s">
        <v>36</v>
      </c>
      <c r="F199" t="s">
        <v>40</v>
      </c>
      <c r="G199" s="2">
        <v>45516</v>
      </c>
      <c r="H199">
        <v>55.15</v>
      </c>
      <c r="I199" s="1"/>
    </row>
    <row r="200" spans="1:9" x14ac:dyDescent="0.25">
      <c r="A200" t="s">
        <v>311</v>
      </c>
      <c r="B200" t="s">
        <v>272</v>
      </c>
      <c r="C200" s="1" t="s">
        <v>133</v>
      </c>
      <c r="D200" s="1" t="s">
        <v>35</v>
      </c>
      <c r="E200" t="s">
        <v>36</v>
      </c>
      <c r="F200" t="s">
        <v>40</v>
      </c>
      <c r="G200" s="2">
        <v>45700</v>
      </c>
      <c r="H200">
        <v>68</v>
      </c>
      <c r="I200" s="1"/>
    </row>
    <row r="201" spans="1:9" x14ac:dyDescent="0.25">
      <c r="A201" t="s">
        <v>311</v>
      </c>
      <c r="B201" t="s">
        <v>272</v>
      </c>
      <c r="C201" s="1" t="s">
        <v>198</v>
      </c>
      <c r="D201" s="1" t="s">
        <v>35</v>
      </c>
      <c r="E201" t="s">
        <v>36</v>
      </c>
      <c r="F201" t="s">
        <v>40</v>
      </c>
      <c r="G201" s="2">
        <v>45504</v>
      </c>
      <c r="H201">
        <v>58.9</v>
      </c>
      <c r="I201" s="1"/>
    </row>
    <row r="202" spans="1:9" x14ac:dyDescent="0.25">
      <c r="A202" t="s">
        <v>311</v>
      </c>
      <c r="B202" t="s">
        <v>272</v>
      </c>
      <c r="C202" s="1" t="s">
        <v>199</v>
      </c>
      <c r="D202" s="1" t="s">
        <v>67</v>
      </c>
      <c r="E202" t="s">
        <v>36</v>
      </c>
      <c r="F202" t="s">
        <v>124</v>
      </c>
      <c r="G202" s="2">
        <v>45504</v>
      </c>
      <c r="H202">
        <v>59.5</v>
      </c>
      <c r="I202" s="1"/>
    </row>
    <row r="203" spans="1:9" x14ac:dyDescent="0.25">
      <c r="A203" t="s">
        <v>311</v>
      </c>
      <c r="B203" t="s">
        <v>272</v>
      </c>
      <c r="C203" s="1" t="s">
        <v>200</v>
      </c>
      <c r="D203" s="1" t="s">
        <v>90</v>
      </c>
      <c r="E203" t="s">
        <v>36</v>
      </c>
      <c r="F203" t="s">
        <v>49</v>
      </c>
      <c r="G203" s="2">
        <v>45504</v>
      </c>
      <c r="H203">
        <v>60.9</v>
      </c>
      <c r="I203" s="1"/>
    </row>
    <row r="204" spans="1:9" x14ac:dyDescent="0.25">
      <c r="A204" t="s">
        <v>311</v>
      </c>
      <c r="B204" t="s">
        <v>272</v>
      </c>
      <c r="C204" s="1" t="s">
        <v>201</v>
      </c>
      <c r="D204" s="1" t="s">
        <v>67</v>
      </c>
      <c r="E204" t="s">
        <v>36</v>
      </c>
      <c r="F204" t="s">
        <v>124</v>
      </c>
      <c r="G204" s="2">
        <v>45504</v>
      </c>
      <c r="H204">
        <v>64.5</v>
      </c>
      <c r="I204" s="1"/>
    </row>
    <row r="205" spans="1:9" x14ac:dyDescent="0.25">
      <c r="A205" t="s">
        <v>311</v>
      </c>
      <c r="B205" t="s">
        <v>304</v>
      </c>
      <c r="C205" s="1" t="s">
        <v>236</v>
      </c>
      <c r="D205" s="1" t="s">
        <v>4</v>
      </c>
      <c r="E205" t="s">
        <v>5</v>
      </c>
      <c r="F205" t="s">
        <v>13</v>
      </c>
      <c r="G205" s="2">
        <v>45265</v>
      </c>
      <c r="H205">
        <v>53</v>
      </c>
      <c r="I205" s="1"/>
    </row>
    <row r="206" spans="1:9" x14ac:dyDescent="0.25">
      <c r="A206" t="s">
        <v>311</v>
      </c>
      <c r="B206" t="s">
        <v>309</v>
      </c>
      <c r="C206" s="1" t="s">
        <v>3</v>
      </c>
      <c r="D206" s="1" t="s">
        <v>4</v>
      </c>
      <c r="E206" t="s">
        <v>5</v>
      </c>
      <c r="F206" t="s">
        <v>6</v>
      </c>
      <c r="G206" s="2">
        <v>45671</v>
      </c>
      <c r="H206">
        <v>45</v>
      </c>
      <c r="I206" s="1"/>
    </row>
    <row r="207" spans="1:9" x14ac:dyDescent="0.25">
      <c r="I207" s="1"/>
    </row>
    <row r="208" spans="1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</sheetData>
  <phoneticPr fontId="2" type="noConversion"/>
  <conditionalFormatting sqref="P4:P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10C29D-00C3-4AFC-AD61-474F4E04D1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Primrose Garcia</dc:creator>
  <cp:lastModifiedBy>Primrose Garcia</cp:lastModifiedBy>
  <dcterms:created xsi:type="dcterms:W3CDTF">2025-10-31T18:43:26Z</dcterms:created>
  <dcterms:modified xsi:type="dcterms:W3CDTF">2025-11-04T23:16:56Z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a67294-6e85-4b7c-9913-db8db5eb0f24_Enabled">
    <vt:lpwstr>true</vt:lpwstr>
  </property>
  <property fmtid="{D5CDD505-2E9C-101B-9397-08002B2CF9AE}" pid="3" name="MSIP_Label_dea67294-6e85-4b7c-9913-db8db5eb0f24_SetDate">
    <vt:lpwstr>2025-10-31T18:49:00Z</vt:lpwstr>
  </property>
  <property fmtid="{D5CDD505-2E9C-101B-9397-08002B2CF9AE}" pid="4" name="MSIP_Label_dea67294-6e85-4b7c-9913-db8db5eb0f24_Method">
    <vt:lpwstr>Standard</vt:lpwstr>
  </property>
  <property fmtid="{D5CDD505-2E9C-101B-9397-08002B2CF9AE}" pid="5" name="MSIP_Label_dea67294-6e85-4b7c-9913-db8db5eb0f24_Name">
    <vt:lpwstr>2024 - Internal Information</vt:lpwstr>
  </property>
  <property fmtid="{D5CDD505-2E9C-101B-9397-08002B2CF9AE}" pid="6" name="MSIP_Label_dea67294-6e85-4b7c-9913-db8db5eb0f24_SiteId">
    <vt:lpwstr>95e2a768-a0fd-4363-bde4-fbd963fc1153</vt:lpwstr>
  </property>
  <property fmtid="{D5CDD505-2E9C-101B-9397-08002B2CF9AE}" pid="7" name="MSIP_Label_dea67294-6e85-4b7c-9913-db8db5eb0f24_ActionId">
    <vt:lpwstr>691f834a-4faa-479b-b05e-4387a73e8ce4</vt:lpwstr>
  </property>
  <property fmtid="{D5CDD505-2E9C-101B-9397-08002B2CF9AE}" pid="8" name="MSIP_Label_dea67294-6e85-4b7c-9913-db8db5eb0f24_ContentBits">
    <vt:lpwstr>0</vt:lpwstr>
  </property>
  <property fmtid="{D5CDD505-2E9C-101B-9397-08002B2CF9AE}" pid="9" name="MSIP_Label_dea67294-6e85-4b7c-9913-db8db5eb0f24_Tag">
    <vt:lpwstr>10, 3, 0, 1</vt:lpwstr>
  </property>
  <property fmtid="{D5CDD505-2E9C-101B-9397-08002B2CF9AE}" pid="10" name="{A44787D4-0540-4523-9961-78E4036D8C6D}">
    <vt:lpwstr>{9CB228EE-C8EC-4F83-8630-5AFA31AE612B}</vt:lpwstr>
  </property>
</Properties>
</file>